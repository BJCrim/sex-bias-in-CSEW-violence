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Changing violence\github\"/>
    </mc:Choice>
  </mc:AlternateContent>
  <xr:revisionPtr revIDLastSave="0" documentId="8_{D58CE4F8-8938-4392-B568-D9EE4F84DE0D}" xr6:coauthVersionLast="47" xr6:coauthVersionMax="47" xr10:uidLastSave="{00000000-0000-0000-0000-000000000000}"/>
  <bookViews>
    <workbookView xWindow="3375" yWindow="0" windowWidth="26250" windowHeight="14385" firstSheet="4" activeTab="13" xr2:uid="{D58A47B0-BFF8-42FB-903F-E9311FA9DDB6}"/>
  </bookViews>
  <sheets>
    <sheet name="all" sheetId="1" r:id="rId1"/>
    <sheet name="male" sheetId="2" r:id="rId2"/>
    <sheet name="female" sheetId="3" r:id="rId3"/>
    <sheet name="domestic" sheetId="4" r:id="rId4"/>
    <sheet name="acq" sheetId="5" r:id="rId5"/>
    <sheet name="stranger" sheetId="6" r:id="rId6"/>
    <sheet name="mdomestic" sheetId="7" r:id="rId7"/>
    <sheet name="macq" sheetId="8" r:id="rId8"/>
    <sheet name="mstranger" sheetId="9" r:id="rId9"/>
    <sheet name="fdomestic" sheetId="10" r:id="rId10"/>
    <sheet name="facq" sheetId="11" r:id="rId11"/>
    <sheet name="fstranger" sheetId="12" r:id="rId12"/>
    <sheet name="maleserious" sheetId="14" r:id="rId13"/>
    <sheet name="femaleserious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9" l="1"/>
  <c r="J20" i="6" l="1"/>
  <c r="I20" i="6"/>
  <c r="H20" i="6"/>
  <c r="J19" i="6"/>
  <c r="I19" i="6"/>
  <c r="H19" i="6"/>
  <c r="K18" i="6"/>
  <c r="J18" i="6"/>
  <c r="I18" i="6"/>
  <c r="H18" i="6"/>
  <c r="L17" i="6"/>
  <c r="K17" i="6"/>
  <c r="J17" i="6"/>
  <c r="I17" i="6"/>
  <c r="H17" i="6"/>
  <c r="L16" i="6"/>
  <c r="K16" i="6"/>
  <c r="J16" i="6"/>
  <c r="I16" i="6"/>
  <c r="H16" i="6"/>
  <c r="L15" i="6"/>
  <c r="K15" i="6"/>
  <c r="J15" i="6"/>
  <c r="I15" i="6"/>
  <c r="H15" i="6"/>
  <c r="L14" i="6"/>
  <c r="K14" i="6"/>
  <c r="J14" i="6"/>
  <c r="I14" i="6"/>
  <c r="H14" i="6"/>
  <c r="L13" i="6"/>
  <c r="K13" i="6"/>
  <c r="J13" i="6"/>
  <c r="I13" i="6"/>
  <c r="H13" i="6"/>
  <c r="L12" i="6"/>
  <c r="K12" i="6"/>
  <c r="J12" i="6"/>
  <c r="I12" i="6"/>
  <c r="H12" i="6"/>
  <c r="L11" i="6"/>
  <c r="K11" i="6"/>
  <c r="J11" i="6"/>
  <c r="I11" i="6"/>
  <c r="H11" i="6"/>
  <c r="L10" i="6"/>
  <c r="K10" i="6"/>
  <c r="J10" i="6"/>
  <c r="I10" i="6"/>
  <c r="H10" i="6"/>
  <c r="L9" i="6"/>
  <c r="K9" i="6"/>
  <c r="J9" i="6"/>
  <c r="I9" i="6"/>
  <c r="H9" i="6"/>
  <c r="L8" i="6"/>
  <c r="K8" i="6"/>
  <c r="J8" i="6"/>
  <c r="I8" i="6"/>
  <c r="H8" i="6"/>
  <c r="L7" i="6"/>
  <c r="K7" i="6"/>
  <c r="J7" i="6"/>
  <c r="I7" i="6"/>
  <c r="H7" i="6"/>
  <c r="L6" i="6"/>
  <c r="K6" i="6"/>
  <c r="J6" i="6"/>
  <c r="I6" i="6"/>
  <c r="H6" i="6"/>
  <c r="L5" i="6"/>
  <c r="K5" i="6"/>
  <c r="J5" i="6"/>
  <c r="I5" i="6"/>
  <c r="H5" i="6"/>
  <c r="L4" i="6"/>
  <c r="K4" i="6"/>
  <c r="J4" i="6"/>
  <c r="I4" i="6"/>
  <c r="H4" i="6"/>
  <c r="L3" i="6"/>
  <c r="K3" i="6"/>
  <c r="J3" i="6"/>
  <c r="I3" i="6"/>
  <c r="H3" i="6"/>
  <c r="L2" i="6"/>
  <c r="K2" i="6"/>
  <c r="J2" i="6"/>
  <c r="I2" i="6"/>
  <c r="H2" i="6"/>
  <c r="J20" i="5"/>
  <c r="I20" i="5"/>
  <c r="H20" i="5"/>
  <c r="J19" i="5"/>
  <c r="I19" i="5"/>
  <c r="H19" i="5"/>
  <c r="K18" i="5"/>
  <c r="J18" i="5"/>
  <c r="I18" i="5"/>
  <c r="H18" i="5"/>
  <c r="L17" i="5"/>
  <c r="K17" i="5"/>
  <c r="J17" i="5"/>
  <c r="I17" i="5"/>
  <c r="H17" i="5"/>
  <c r="L16" i="5"/>
  <c r="K16" i="5"/>
  <c r="J16" i="5"/>
  <c r="I16" i="5"/>
  <c r="H16" i="5"/>
  <c r="L15" i="5"/>
  <c r="K15" i="5"/>
  <c r="J15" i="5"/>
  <c r="I15" i="5"/>
  <c r="H15" i="5"/>
  <c r="L14" i="5"/>
  <c r="K14" i="5"/>
  <c r="J14" i="5"/>
  <c r="I14" i="5"/>
  <c r="H14" i="5"/>
  <c r="L13" i="5"/>
  <c r="K13" i="5"/>
  <c r="J13" i="5"/>
  <c r="I13" i="5"/>
  <c r="H13" i="5"/>
  <c r="L12" i="5"/>
  <c r="K12" i="5"/>
  <c r="J12" i="5"/>
  <c r="I12" i="5"/>
  <c r="H12" i="5"/>
  <c r="L11" i="5"/>
  <c r="K11" i="5"/>
  <c r="J11" i="5"/>
  <c r="I11" i="5"/>
  <c r="H11" i="5"/>
  <c r="L10" i="5"/>
  <c r="K10" i="5"/>
  <c r="J10" i="5"/>
  <c r="I10" i="5"/>
  <c r="H10" i="5"/>
  <c r="L9" i="5"/>
  <c r="K9" i="5"/>
  <c r="J9" i="5"/>
  <c r="I9" i="5"/>
  <c r="H9" i="5"/>
  <c r="L8" i="5"/>
  <c r="K8" i="5"/>
  <c r="J8" i="5"/>
  <c r="I8" i="5"/>
  <c r="H8" i="5"/>
  <c r="L7" i="5"/>
  <c r="K7" i="5"/>
  <c r="J7" i="5"/>
  <c r="I7" i="5"/>
  <c r="H7" i="5"/>
  <c r="L6" i="5"/>
  <c r="K6" i="5"/>
  <c r="J6" i="5"/>
  <c r="I6" i="5"/>
  <c r="H6" i="5"/>
  <c r="L5" i="5"/>
  <c r="K5" i="5"/>
  <c r="J5" i="5"/>
  <c r="I5" i="5"/>
  <c r="H5" i="5"/>
  <c r="L4" i="5"/>
  <c r="K4" i="5"/>
  <c r="J4" i="5"/>
  <c r="I4" i="5"/>
  <c r="H4" i="5"/>
  <c r="L3" i="5"/>
  <c r="K3" i="5"/>
  <c r="J3" i="5"/>
  <c r="I3" i="5"/>
  <c r="H3" i="5"/>
  <c r="L2" i="5"/>
  <c r="K2" i="5"/>
  <c r="J2" i="5"/>
  <c r="I2" i="5"/>
  <c r="H2" i="5"/>
  <c r="J20" i="4"/>
  <c r="J19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L13" i="4"/>
  <c r="K13" i="4"/>
  <c r="J13" i="4"/>
  <c r="L12" i="4"/>
  <c r="K12" i="4"/>
  <c r="J12" i="4"/>
  <c r="L11" i="4"/>
  <c r="K11" i="4"/>
  <c r="J11" i="4"/>
  <c r="L10" i="4"/>
  <c r="K10" i="4"/>
  <c r="J10" i="4"/>
  <c r="L9" i="4"/>
  <c r="K9" i="4"/>
  <c r="J9" i="4"/>
  <c r="L8" i="4"/>
  <c r="K8" i="4"/>
  <c r="J8" i="4"/>
  <c r="L7" i="4"/>
  <c r="K7" i="4"/>
  <c r="J7" i="4"/>
  <c r="L6" i="4"/>
  <c r="K6" i="4"/>
  <c r="J6" i="4"/>
  <c r="L5" i="4"/>
  <c r="K5" i="4"/>
  <c r="J5" i="4"/>
  <c r="L4" i="4"/>
  <c r="K4" i="4"/>
  <c r="J4" i="4"/>
  <c r="L3" i="4"/>
  <c r="K3" i="4"/>
  <c r="J3" i="4"/>
  <c r="L2" i="4"/>
  <c r="K2" i="4"/>
  <c r="J2" i="4"/>
  <c r="E32" i="7"/>
  <c r="D32" i="7"/>
  <c r="C32" i="7"/>
  <c r="B32" i="7"/>
  <c r="E31" i="7"/>
  <c r="D31" i="7"/>
  <c r="C31" i="7"/>
  <c r="B31" i="7"/>
  <c r="E32" i="8"/>
  <c r="D32" i="8"/>
  <c r="C32" i="8"/>
  <c r="B32" i="8"/>
  <c r="E31" i="8"/>
  <c r="D31" i="8"/>
  <c r="C31" i="8"/>
  <c r="B31" i="8"/>
  <c r="E32" i="9"/>
  <c r="D32" i="9"/>
  <c r="C32" i="9"/>
  <c r="B32" i="9"/>
  <c r="E31" i="9"/>
  <c r="D31" i="9"/>
  <c r="C31" i="9"/>
  <c r="B31" i="9"/>
  <c r="E32" i="10"/>
  <c r="D32" i="10"/>
  <c r="C32" i="10"/>
  <c r="B32" i="10"/>
  <c r="E31" i="10"/>
  <c r="D31" i="10"/>
  <c r="C31" i="10"/>
  <c r="B31" i="10"/>
  <c r="E32" i="11"/>
  <c r="D32" i="11"/>
  <c r="C32" i="11"/>
  <c r="B32" i="11"/>
  <c r="E31" i="11"/>
  <c r="D31" i="11"/>
  <c r="C31" i="11"/>
  <c r="B31" i="11"/>
  <c r="C32" i="12"/>
  <c r="D32" i="12"/>
  <c r="E32" i="12"/>
  <c r="B32" i="12"/>
  <c r="C31" i="12"/>
  <c r="D31" i="12"/>
  <c r="E31" i="12"/>
  <c r="B31" i="12"/>
  <c r="J22" i="12" l="1"/>
  <c r="I22" i="12"/>
  <c r="H22" i="12"/>
  <c r="J21" i="12"/>
  <c r="I21" i="12"/>
  <c r="H21" i="12"/>
  <c r="K20" i="12"/>
  <c r="J20" i="12"/>
  <c r="I20" i="12"/>
  <c r="H20" i="12"/>
  <c r="K19" i="12"/>
  <c r="J19" i="12"/>
  <c r="I19" i="12"/>
  <c r="H19" i="12"/>
  <c r="K18" i="12"/>
  <c r="J18" i="12"/>
  <c r="I18" i="12"/>
  <c r="H18" i="12"/>
  <c r="K17" i="12"/>
  <c r="J17" i="12"/>
  <c r="I17" i="12"/>
  <c r="H17" i="12"/>
  <c r="K16" i="12"/>
  <c r="J16" i="12"/>
  <c r="I16" i="12"/>
  <c r="H16" i="12"/>
  <c r="K15" i="12"/>
  <c r="J15" i="12"/>
  <c r="I15" i="12"/>
  <c r="H15" i="12"/>
  <c r="K14" i="12"/>
  <c r="J14" i="12"/>
  <c r="I14" i="12"/>
  <c r="H14" i="12"/>
  <c r="K13" i="12"/>
  <c r="J13" i="12"/>
  <c r="I13" i="12"/>
  <c r="H13" i="12"/>
  <c r="K12" i="12"/>
  <c r="J12" i="12"/>
  <c r="I12" i="12"/>
  <c r="H12" i="12"/>
  <c r="K11" i="12"/>
  <c r="J11" i="12"/>
  <c r="I11" i="12"/>
  <c r="H11" i="12"/>
  <c r="K10" i="12"/>
  <c r="J10" i="12"/>
  <c r="I10" i="12"/>
  <c r="H10" i="12"/>
  <c r="K9" i="12"/>
  <c r="J9" i="12"/>
  <c r="I9" i="12"/>
  <c r="H9" i="12"/>
  <c r="K8" i="12"/>
  <c r="J8" i="12"/>
  <c r="I8" i="12"/>
  <c r="H8" i="12"/>
  <c r="K7" i="12"/>
  <c r="J7" i="12"/>
  <c r="I7" i="12"/>
  <c r="H7" i="12"/>
  <c r="K6" i="12"/>
  <c r="J6" i="12"/>
  <c r="I6" i="12"/>
  <c r="H6" i="12"/>
  <c r="K5" i="12"/>
  <c r="J5" i="12"/>
  <c r="I5" i="12"/>
  <c r="H5" i="12"/>
  <c r="K4" i="12"/>
  <c r="J4" i="12"/>
  <c r="I4" i="12"/>
  <c r="H4" i="12"/>
  <c r="J22" i="11"/>
  <c r="I22" i="11"/>
  <c r="H22" i="11"/>
  <c r="J21" i="11"/>
  <c r="I21" i="11"/>
  <c r="H21" i="11"/>
  <c r="K20" i="11"/>
  <c r="J20" i="11"/>
  <c r="I20" i="11"/>
  <c r="H20" i="11"/>
  <c r="K19" i="11"/>
  <c r="J19" i="11"/>
  <c r="I19" i="11"/>
  <c r="H19" i="11"/>
  <c r="K18" i="11"/>
  <c r="J18" i="11"/>
  <c r="I18" i="11"/>
  <c r="H18" i="11"/>
  <c r="K17" i="11"/>
  <c r="J17" i="11"/>
  <c r="I17" i="11"/>
  <c r="H17" i="11"/>
  <c r="K16" i="11"/>
  <c r="J16" i="11"/>
  <c r="I16" i="11"/>
  <c r="H16" i="11"/>
  <c r="K15" i="11"/>
  <c r="J15" i="11"/>
  <c r="I15" i="11"/>
  <c r="H15" i="11"/>
  <c r="K14" i="11"/>
  <c r="J14" i="11"/>
  <c r="I14" i="11"/>
  <c r="H14" i="11"/>
  <c r="K13" i="11"/>
  <c r="J13" i="11"/>
  <c r="I13" i="11"/>
  <c r="H13" i="11"/>
  <c r="K12" i="11"/>
  <c r="J12" i="11"/>
  <c r="I12" i="11"/>
  <c r="H12" i="11"/>
  <c r="K11" i="11"/>
  <c r="J11" i="11"/>
  <c r="I11" i="11"/>
  <c r="H11" i="11"/>
  <c r="K10" i="11"/>
  <c r="J10" i="11"/>
  <c r="I10" i="11"/>
  <c r="H10" i="11"/>
  <c r="K9" i="11"/>
  <c r="J9" i="11"/>
  <c r="I9" i="11"/>
  <c r="H9" i="11"/>
  <c r="K8" i="11"/>
  <c r="J8" i="11"/>
  <c r="I8" i="11"/>
  <c r="H8" i="11"/>
  <c r="K7" i="11"/>
  <c r="J7" i="11"/>
  <c r="I7" i="11"/>
  <c r="H7" i="11"/>
  <c r="K6" i="11"/>
  <c r="J6" i="11"/>
  <c r="I6" i="11"/>
  <c r="H6" i="11"/>
  <c r="K5" i="11"/>
  <c r="J5" i="11"/>
  <c r="I5" i="11"/>
  <c r="H5" i="11"/>
  <c r="K4" i="11"/>
  <c r="J4" i="11"/>
  <c r="I4" i="11"/>
  <c r="H4" i="11"/>
  <c r="J22" i="10"/>
  <c r="I22" i="10"/>
  <c r="H22" i="10"/>
  <c r="J21" i="10"/>
  <c r="I21" i="10"/>
  <c r="H21" i="10"/>
  <c r="K20" i="10"/>
  <c r="J20" i="10"/>
  <c r="I20" i="10"/>
  <c r="H20" i="10"/>
  <c r="K19" i="10"/>
  <c r="J19" i="10"/>
  <c r="I19" i="10"/>
  <c r="H19" i="10"/>
  <c r="K18" i="10"/>
  <c r="J18" i="10"/>
  <c r="I18" i="10"/>
  <c r="H18" i="10"/>
  <c r="K17" i="10"/>
  <c r="J17" i="10"/>
  <c r="I17" i="10"/>
  <c r="H17" i="10"/>
  <c r="K16" i="10"/>
  <c r="J16" i="10"/>
  <c r="I16" i="10"/>
  <c r="H16" i="10"/>
  <c r="K15" i="10"/>
  <c r="J15" i="10"/>
  <c r="I15" i="10"/>
  <c r="H15" i="10"/>
  <c r="K14" i="10"/>
  <c r="J14" i="10"/>
  <c r="I14" i="10"/>
  <c r="H14" i="10"/>
  <c r="K13" i="10"/>
  <c r="J13" i="10"/>
  <c r="I13" i="10"/>
  <c r="H13" i="10"/>
  <c r="K12" i="10"/>
  <c r="J12" i="10"/>
  <c r="I12" i="10"/>
  <c r="H12" i="10"/>
  <c r="K11" i="10"/>
  <c r="J11" i="10"/>
  <c r="I11" i="10"/>
  <c r="H11" i="10"/>
  <c r="K10" i="10"/>
  <c r="J10" i="10"/>
  <c r="I10" i="10"/>
  <c r="H10" i="10"/>
  <c r="K9" i="10"/>
  <c r="J9" i="10"/>
  <c r="I9" i="10"/>
  <c r="H9" i="10"/>
  <c r="K8" i="10"/>
  <c r="J8" i="10"/>
  <c r="I8" i="10"/>
  <c r="H8" i="10"/>
  <c r="K7" i="10"/>
  <c r="J7" i="10"/>
  <c r="I7" i="10"/>
  <c r="H7" i="10"/>
  <c r="K6" i="10"/>
  <c r="J6" i="10"/>
  <c r="I6" i="10"/>
  <c r="H6" i="10"/>
  <c r="K5" i="10"/>
  <c r="J5" i="10"/>
  <c r="I5" i="10"/>
  <c r="H5" i="10"/>
  <c r="K4" i="10"/>
  <c r="J4" i="10"/>
  <c r="I4" i="10"/>
  <c r="H4" i="10"/>
  <c r="I25" i="3"/>
  <c r="J20" i="3"/>
  <c r="I20" i="3"/>
  <c r="H20" i="3"/>
  <c r="J19" i="3"/>
  <c r="I19" i="3"/>
  <c r="H19" i="3"/>
  <c r="K18" i="3"/>
  <c r="J18" i="3"/>
  <c r="I18" i="3"/>
  <c r="H18" i="3"/>
  <c r="L17" i="3"/>
  <c r="K17" i="3"/>
  <c r="J17" i="3"/>
  <c r="I17" i="3"/>
  <c r="H17" i="3"/>
  <c r="L16" i="3"/>
  <c r="K16" i="3"/>
  <c r="J16" i="3"/>
  <c r="I16" i="3"/>
  <c r="H16" i="3"/>
  <c r="L15" i="3"/>
  <c r="K15" i="3"/>
  <c r="J15" i="3"/>
  <c r="I15" i="3"/>
  <c r="H15" i="3"/>
  <c r="L14" i="3"/>
  <c r="K14" i="3"/>
  <c r="J14" i="3"/>
  <c r="I14" i="3"/>
  <c r="H14" i="3"/>
  <c r="L13" i="3"/>
  <c r="K13" i="3"/>
  <c r="J13" i="3"/>
  <c r="I13" i="3"/>
  <c r="H13" i="3"/>
  <c r="L12" i="3"/>
  <c r="K12" i="3"/>
  <c r="J12" i="3"/>
  <c r="I12" i="3"/>
  <c r="H12" i="3"/>
  <c r="L11" i="3"/>
  <c r="K11" i="3"/>
  <c r="J11" i="3"/>
  <c r="I11" i="3"/>
  <c r="H11" i="3"/>
  <c r="L10" i="3"/>
  <c r="K10" i="3"/>
  <c r="J10" i="3"/>
  <c r="I10" i="3"/>
  <c r="H10" i="3"/>
  <c r="L9" i="3"/>
  <c r="K9" i="3"/>
  <c r="J9" i="3"/>
  <c r="I9" i="3"/>
  <c r="H9" i="3"/>
  <c r="L8" i="3"/>
  <c r="K8" i="3"/>
  <c r="J8" i="3"/>
  <c r="I8" i="3"/>
  <c r="H8" i="3"/>
  <c r="L7" i="3"/>
  <c r="K7" i="3"/>
  <c r="J7" i="3"/>
  <c r="I7" i="3"/>
  <c r="H7" i="3"/>
  <c r="L6" i="3"/>
  <c r="K6" i="3"/>
  <c r="J6" i="3"/>
  <c r="I6" i="3"/>
  <c r="H6" i="3"/>
  <c r="L5" i="3"/>
  <c r="K5" i="3"/>
  <c r="J5" i="3"/>
  <c r="I5" i="3"/>
  <c r="H5" i="3"/>
  <c r="L4" i="3"/>
  <c r="K4" i="3"/>
  <c r="J4" i="3"/>
  <c r="I4" i="3"/>
  <c r="H4" i="3"/>
  <c r="L3" i="3"/>
  <c r="K3" i="3"/>
  <c r="J3" i="3"/>
  <c r="I3" i="3"/>
  <c r="H3" i="3"/>
  <c r="L2" i="3"/>
  <c r="K2" i="3"/>
  <c r="J2" i="3"/>
  <c r="I2" i="3"/>
  <c r="H2" i="3"/>
  <c r="J20" i="2"/>
  <c r="I20" i="2"/>
  <c r="H20" i="2"/>
  <c r="J19" i="2"/>
  <c r="I19" i="2"/>
  <c r="H19" i="2"/>
  <c r="K18" i="2"/>
  <c r="J18" i="2"/>
  <c r="I18" i="2"/>
  <c r="H18" i="2"/>
  <c r="L17" i="2"/>
  <c r="K17" i="2"/>
  <c r="J17" i="2"/>
  <c r="I17" i="2"/>
  <c r="H17" i="2"/>
  <c r="L16" i="2"/>
  <c r="K16" i="2"/>
  <c r="J16" i="2"/>
  <c r="I16" i="2"/>
  <c r="H16" i="2"/>
  <c r="L15" i="2"/>
  <c r="K15" i="2"/>
  <c r="J15" i="2"/>
  <c r="I15" i="2"/>
  <c r="H15" i="2"/>
  <c r="L14" i="2"/>
  <c r="K14" i="2"/>
  <c r="J14" i="2"/>
  <c r="I14" i="2"/>
  <c r="H14" i="2"/>
  <c r="L13" i="2"/>
  <c r="K13" i="2"/>
  <c r="J13" i="2"/>
  <c r="I13" i="2"/>
  <c r="H13" i="2"/>
  <c r="L12" i="2"/>
  <c r="K12" i="2"/>
  <c r="J12" i="2"/>
  <c r="I12" i="2"/>
  <c r="H12" i="2"/>
  <c r="L11" i="2"/>
  <c r="K11" i="2"/>
  <c r="J11" i="2"/>
  <c r="I11" i="2"/>
  <c r="H11" i="2"/>
  <c r="L10" i="2"/>
  <c r="K10" i="2"/>
  <c r="J10" i="2"/>
  <c r="I10" i="2"/>
  <c r="H10" i="2"/>
  <c r="L9" i="2"/>
  <c r="K9" i="2"/>
  <c r="J9" i="2"/>
  <c r="I9" i="2"/>
  <c r="H9" i="2"/>
  <c r="L8" i="2"/>
  <c r="K8" i="2"/>
  <c r="J8" i="2"/>
  <c r="I8" i="2"/>
  <c r="H8" i="2"/>
  <c r="L7" i="2"/>
  <c r="K7" i="2"/>
  <c r="J7" i="2"/>
  <c r="I7" i="2"/>
  <c r="H7" i="2"/>
  <c r="L6" i="2"/>
  <c r="K6" i="2"/>
  <c r="J6" i="2"/>
  <c r="I6" i="2"/>
  <c r="H6" i="2"/>
  <c r="L5" i="2"/>
  <c r="K5" i="2"/>
  <c r="J5" i="2"/>
  <c r="I5" i="2"/>
  <c r="H5" i="2"/>
  <c r="L4" i="2"/>
  <c r="K4" i="2"/>
  <c r="J4" i="2"/>
  <c r="I4" i="2"/>
  <c r="H4" i="2"/>
  <c r="L3" i="2"/>
  <c r="K3" i="2"/>
  <c r="J3" i="2"/>
  <c r="I3" i="2"/>
  <c r="H3" i="2"/>
  <c r="L2" i="2"/>
  <c r="K2" i="2"/>
  <c r="J2" i="2"/>
  <c r="I2" i="2"/>
  <c r="H2" i="2"/>
  <c r="J22" i="9"/>
  <c r="I22" i="9"/>
  <c r="H22" i="9"/>
  <c r="J21" i="9"/>
  <c r="I21" i="9"/>
  <c r="H21" i="9"/>
  <c r="K20" i="9"/>
  <c r="J20" i="9"/>
  <c r="I20" i="9"/>
  <c r="H20" i="9"/>
  <c r="K19" i="9"/>
  <c r="J19" i="9"/>
  <c r="I19" i="9"/>
  <c r="H19" i="9"/>
  <c r="K18" i="9"/>
  <c r="J18" i="9"/>
  <c r="I18" i="9"/>
  <c r="H18" i="9"/>
  <c r="K17" i="9"/>
  <c r="J17" i="9"/>
  <c r="I17" i="9"/>
  <c r="H17" i="9"/>
  <c r="K16" i="9"/>
  <c r="J16" i="9"/>
  <c r="I16" i="9"/>
  <c r="H16" i="9"/>
  <c r="K15" i="9"/>
  <c r="J15" i="9"/>
  <c r="I15" i="9"/>
  <c r="H15" i="9"/>
  <c r="K14" i="9"/>
  <c r="J14" i="9"/>
  <c r="I14" i="9"/>
  <c r="H14" i="9"/>
  <c r="K13" i="9"/>
  <c r="J13" i="9"/>
  <c r="I13" i="9"/>
  <c r="H13" i="9"/>
  <c r="K12" i="9"/>
  <c r="J12" i="9"/>
  <c r="I12" i="9"/>
  <c r="H12" i="9"/>
  <c r="K11" i="9"/>
  <c r="J11" i="9"/>
  <c r="I11" i="9"/>
  <c r="H11" i="9"/>
  <c r="K10" i="9"/>
  <c r="J10" i="9"/>
  <c r="I10" i="9"/>
  <c r="H10" i="9"/>
  <c r="K9" i="9"/>
  <c r="J9" i="9"/>
  <c r="I9" i="9"/>
  <c r="H9" i="9"/>
  <c r="K8" i="9"/>
  <c r="J8" i="9"/>
  <c r="I8" i="9"/>
  <c r="H8" i="9"/>
  <c r="K7" i="9"/>
  <c r="J7" i="9"/>
  <c r="I7" i="9"/>
  <c r="H7" i="9"/>
  <c r="K6" i="9"/>
  <c r="J6" i="9"/>
  <c r="I6" i="9"/>
  <c r="H6" i="9"/>
  <c r="K5" i="9"/>
  <c r="J5" i="9"/>
  <c r="I5" i="9"/>
  <c r="H5" i="9"/>
  <c r="K4" i="9"/>
  <c r="J4" i="9"/>
  <c r="I4" i="9"/>
  <c r="H4" i="9"/>
  <c r="O22" i="8"/>
  <c r="N22" i="8"/>
  <c r="M22" i="8"/>
  <c r="O21" i="8"/>
  <c r="N21" i="8"/>
  <c r="M21" i="8"/>
  <c r="P20" i="8"/>
  <c r="O20" i="8"/>
  <c r="N20" i="8"/>
  <c r="M20" i="8"/>
  <c r="P19" i="8"/>
  <c r="O19" i="8"/>
  <c r="N19" i="8"/>
  <c r="M19" i="8"/>
  <c r="P18" i="8"/>
  <c r="O18" i="8"/>
  <c r="N18" i="8"/>
  <c r="M18" i="8"/>
  <c r="P17" i="8"/>
  <c r="O17" i="8"/>
  <c r="N17" i="8"/>
  <c r="M17" i="8"/>
  <c r="P16" i="8"/>
  <c r="O16" i="8"/>
  <c r="N16" i="8"/>
  <c r="M16" i="8"/>
  <c r="P15" i="8"/>
  <c r="O15" i="8"/>
  <c r="N15" i="8"/>
  <c r="M15" i="8"/>
  <c r="P14" i="8"/>
  <c r="O14" i="8"/>
  <c r="N14" i="8"/>
  <c r="M14" i="8"/>
  <c r="P13" i="8"/>
  <c r="O13" i="8"/>
  <c r="N13" i="8"/>
  <c r="M13" i="8"/>
  <c r="P12" i="8"/>
  <c r="O12" i="8"/>
  <c r="N12" i="8"/>
  <c r="M12" i="8"/>
  <c r="P11" i="8"/>
  <c r="O11" i="8"/>
  <c r="N11" i="8"/>
  <c r="M11" i="8"/>
  <c r="P10" i="8"/>
  <c r="O10" i="8"/>
  <c r="N10" i="8"/>
  <c r="M10" i="8"/>
  <c r="P9" i="8"/>
  <c r="O9" i="8"/>
  <c r="N9" i="8"/>
  <c r="M9" i="8"/>
  <c r="P8" i="8"/>
  <c r="O8" i="8"/>
  <c r="N8" i="8"/>
  <c r="M8" i="8"/>
  <c r="P7" i="8"/>
  <c r="O7" i="8"/>
  <c r="N7" i="8"/>
  <c r="M7" i="8"/>
  <c r="P6" i="8"/>
  <c r="O6" i="8"/>
  <c r="N6" i="8"/>
  <c r="M6" i="8"/>
  <c r="P5" i="8"/>
  <c r="O5" i="8"/>
  <c r="N5" i="8"/>
  <c r="M5" i="8"/>
  <c r="P4" i="8"/>
  <c r="O4" i="8"/>
  <c r="N4" i="8"/>
  <c r="M4" i="8"/>
  <c r="K24" i="7"/>
  <c r="J22" i="7"/>
  <c r="I22" i="7"/>
  <c r="H22" i="7"/>
  <c r="J21" i="7"/>
  <c r="I21" i="7"/>
  <c r="H21" i="7"/>
  <c r="K20" i="7"/>
  <c r="J20" i="7"/>
  <c r="I20" i="7"/>
  <c r="H20" i="7"/>
  <c r="K19" i="7"/>
  <c r="J19" i="7"/>
  <c r="I19" i="7"/>
  <c r="H19" i="7"/>
  <c r="K18" i="7"/>
  <c r="J18" i="7"/>
  <c r="I18" i="7"/>
  <c r="H18" i="7"/>
  <c r="K17" i="7"/>
  <c r="J17" i="7"/>
  <c r="I17" i="7"/>
  <c r="H17" i="7"/>
  <c r="K16" i="7"/>
  <c r="J16" i="7"/>
  <c r="I16" i="7"/>
  <c r="H16" i="7"/>
  <c r="K15" i="7"/>
  <c r="J15" i="7"/>
  <c r="I15" i="7"/>
  <c r="H15" i="7"/>
  <c r="K14" i="7"/>
  <c r="J14" i="7"/>
  <c r="I14" i="7"/>
  <c r="H14" i="7"/>
  <c r="K13" i="7"/>
  <c r="J13" i="7"/>
  <c r="I13" i="7"/>
  <c r="H13" i="7"/>
  <c r="K12" i="7"/>
  <c r="J12" i="7"/>
  <c r="I12" i="7"/>
  <c r="H12" i="7"/>
  <c r="K11" i="7"/>
  <c r="J11" i="7"/>
  <c r="I11" i="7"/>
  <c r="H11" i="7"/>
  <c r="L10" i="7"/>
  <c r="K10" i="7"/>
  <c r="J10" i="7"/>
  <c r="I10" i="7"/>
  <c r="H10" i="7"/>
  <c r="K9" i="7"/>
  <c r="J9" i="7"/>
  <c r="I9" i="7"/>
  <c r="H9" i="7"/>
  <c r="K8" i="7"/>
  <c r="J8" i="7"/>
  <c r="I8" i="7"/>
  <c r="H8" i="7"/>
  <c r="K7" i="7"/>
  <c r="J7" i="7"/>
  <c r="I7" i="7"/>
  <c r="H7" i="7"/>
  <c r="K6" i="7"/>
  <c r="J6" i="7"/>
  <c r="I6" i="7"/>
  <c r="H6" i="7"/>
  <c r="K5" i="7"/>
  <c r="J5" i="7"/>
  <c r="I5" i="7"/>
  <c r="H5" i="7"/>
  <c r="K4" i="7"/>
  <c r="J4" i="7"/>
  <c r="I4" i="7"/>
  <c r="H4" i="7"/>
  <c r="J25" i="1"/>
  <c r="I25" i="1"/>
  <c r="H25" i="1"/>
  <c r="K23" i="1"/>
  <c r="J23" i="1"/>
  <c r="I23" i="1"/>
  <c r="J20" i="1"/>
  <c r="I20" i="1"/>
  <c r="H20" i="1"/>
  <c r="J19" i="1"/>
  <c r="I19" i="1"/>
  <c r="H19" i="1"/>
  <c r="K18" i="1"/>
  <c r="J18" i="1"/>
  <c r="I18" i="1"/>
  <c r="H18" i="1"/>
  <c r="L17" i="1"/>
  <c r="K17" i="1"/>
  <c r="J17" i="1"/>
  <c r="I17" i="1"/>
  <c r="H17" i="1"/>
  <c r="L16" i="1"/>
  <c r="K16" i="1"/>
  <c r="J16" i="1"/>
  <c r="I16" i="1"/>
  <c r="H16" i="1"/>
  <c r="L15" i="1"/>
  <c r="K15" i="1"/>
  <c r="J15" i="1"/>
  <c r="I15" i="1"/>
  <c r="H15" i="1"/>
  <c r="L14" i="1"/>
  <c r="K14" i="1"/>
  <c r="J14" i="1"/>
  <c r="I14" i="1"/>
  <c r="H14" i="1"/>
  <c r="L13" i="1"/>
  <c r="K13" i="1"/>
  <c r="J13" i="1"/>
  <c r="I13" i="1"/>
  <c r="H13" i="1"/>
  <c r="L12" i="1"/>
  <c r="K12" i="1"/>
  <c r="J12" i="1"/>
  <c r="I12" i="1"/>
  <c r="H12" i="1"/>
  <c r="L11" i="1"/>
  <c r="K11" i="1"/>
  <c r="J11" i="1"/>
  <c r="I11" i="1"/>
  <c r="H11" i="1"/>
  <c r="L10" i="1"/>
  <c r="K10" i="1"/>
  <c r="J10" i="1"/>
  <c r="I10" i="1"/>
  <c r="H10" i="1"/>
  <c r="L9" i="1"/>
  <c r="K9" i="1"/>
  <c r="J9" i="1"/>
  <c r="I9" i="1"/>
  <c r="H9" i="1"/>
  <c r="L8" i="1"/>
  <c r="K8" i="1"/>
  <c r="J8" i="1"/>
  <c r="I8" i="1"/>
  <c r="H8" i="1"/>
  <c r="L7" i="1"/>
  <c r="K7" i="1"/>
  <c r="J7" i="1"/>
  <c r="I7" i="1"/>
  <c r="H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3" i="1"/>
  <c r="K3" i="1"/>
  <c r="J3" i="1"/>
  <c r="I3" i="1"/>
  <c r="H3" i="1"/>
  <c r="L2" i="1"/>
  <c r="K2" i="1"/>
  <c r="J2" i="1"/>
  <c r="I2" i="1"/>
  <c r="H2" i="1"/>
  <c r="H23" i="15"/>
  <c r="J20" i="15"/>
  <c r="I20" i="15"/>
  <c r="H20" i="15"/>
  <c r="J19" i="15"/>
  <c r="I19" i="15"/>
  <c r="H19" i="15"/>
  <c r="K18" i="15"/>
  <c r="J18" i="15"/>
  <c r="I18" i="15"/>
  <c r="H18" i="15"/>
  <c r="L17" i="15"/>
  <c r="K17" i="15"/>
  <c r="J17" i="15"/>
  <c r="I17" i="15"/>
  <c r="H17" i="15"/>
  <c r="L16" i="15"/>
  <c r="K16" i="15"/>
  <c r="J16" i="15"/>
  <c r="I16" i="15"/>
  <c r="H16" i="15"/>
  <c r="L15" i="15"/>
  <c r="K15" i="15"/>
  <c r="J15" i="15"/>
  <c r="I15" i="15"/>
  <c r="H15" i="15"/>
  <c r="L14" i="15"/>
  <c r="K14" i="15"/>
  <c r="J14" i="15"/>
  <c r="I14" i="15"/>
  <c r="H14" i="15"/>
  <c r="L13" i="15"/>
  <c r="K13" i="15"/>
  <c r="J13" i="15"/>
  <c r="I13" i="15"/>
  <c r="H13" i="15"/>
  <c r="L12" i="15"/>
  <c r="K12" i="15"/>
  <c r="J12" i="15"/>
  <c r="I12" i="15"/>
  <c r="H12" i="15"/>
  <c r="L11" i="15"/>
  <c r="K11" i="15"/>
  <c r="J11" i="15"/>
  <c r="I11" i="15"/>
  <c r="H11" i="15"/>
  <c r="L10" i="15"/>
  <c r="K10" i="15"/>
  <c r="J10" i="15"/>
  <c r="I10" i="15"/>
  <c r="H10" i="15"/>
  <c r="L9" i="15"/>
  <c r="K9" i="15"/>
  <c r="J9" i="15"/>
  <c r="I9" i="15"/>
  <c r="H9" i="15"/>
  <c r="L8" i="15"/>
  <c r="K8" i="15"/>
  <c r="J8" i="15"/>
  <c r="I8" i="15"/>
  <c r="H8" i="15"/>
  <c r="L7" i="15"/>
  <c r="K7" i="15"/>
  <c r="J7" i="15"/>
  <c r="I7" i="15"/>
  <c r="H7" i="15"/>
  <c r="L6" i="15"/>
  <c r="K6" i="15"/>
  <c r="J6" i="15"/>
  <c r="I6" i="15"/>
  <c r="H6" i="15"/>
  <c r="L5" i="15"/>
  <c r="K5" i="15"/>
  <c r="J5" i="15"/>
  <c r="I5" i="15"/>
  <c r="H5" i="15"/>
  <c r="L4" i="15"/>
  <c r="K4" i="15"/>
  <c r="J4" i="15"/>
  <c r="I4" i="15"/>
  <c r="H4" i="15"/>
  <c r="L3" i="15"/>
  <c r="K3" i="15"/>
  <c r="J3" i="15"/>
  <c r="I3" i="15"/>
  <c r="H3" i="15"/>
  <c r="L2" i="15"/>
  <c r="K2" i="15"/>
  <c r="J2" i="15"/>
  <c r="I2" i="15"/>
  <c r="H2" i="15"/>
  <c r="H22" i="14"/>
  <c r="J20" i="14"/>
  <c r="I20" i="14"/>
  <c r="H20" i="14"/>
  <c r="J19" i="14"/>
  <c r="I19" i="14"/>
  <c r="H19" i="14"/>
  <c r="K18" i="14"/>
  <c r="J18" i="14"/>
  <c r="I18" i="14"/>
  <c r="H18" i="14"/>
  <c r="L17" i="14"/>
  <c r="K17" i="14"/>
  <c r="J17" i="14"/>
  <c r="I17" i="14"/>
  <c r="H17" i="14"/>
  <c r="L16" i="14"/>
  <c r="K16" i="14"/>
  <c r="J16" i="14"/>
  <c r="I16" i="14"/>
  <c r="H16" i="14"/>
  <c r="L15" i="14"/>
  <c r="K15" i="14"/>
  <c r="J15" i="14"/>
  <c r="I15" i="14"/>
  <c r="H15" i="14"/>
  <c r="L14" i="14"/>
  <c r="K14" i="14"/>
  <c r="J14" i="14"/>
  <c r="I14" i="14"/>
  <c r="H14" i="14"/>
  <c r="L13" i="14"/>
  <c r="K13" i="14"/>
  <c r="J13" i="14"/>
  <c r="I13" i="14"/>
  <c r="H13" i="14"/>
  <c r="L12" i="14"/>
  <c r="K12" i="14"/>
  <c r="J12" i="14"/>
  <c r="I12" i="14"/>
  <c r="H12" i="14"/>
  <c r="L11" i="14"/>
  <c r="K11" i="14"/>
  <c r="J11" i="14"/>
  <c r="I11" i="14"/>
  <c r="H11" i="14"/>
  <c r="L10" i="14"/>
  <c r="K10" i="14"/>
  <c r="J10" i="14"/>
  <c r="I10" i="14"/>
  <c r="H10" i="14"/>
  <c r="L9" i="14"/>
  <c r="K9" i="14"/>
  <c r="J9" i="14"/>
  <c r="I9" i="14"/>
  <c r="H9" i="14"/>
  <c r="L8" i="14"/>
  <c r="K8" i="14"/>
  <c r="J8" i="14"/>
  <c r="I8" i="14"/>
  <c r="H8" i="14"/>
  <c r="L7" i="14"/>
  <c r="K7" i="14"/>
  <c r="J7" i="14"/>
  <c r="I7" i="14"/>
  <c r="H7" i="14"/>
  <c r="L6" i="14"/>
  <c r="K6" i="14"/>
  <c r="J6" i="14"/>
  <c r="I6" i="14"/>
  <c r="H6" i="14"/>
  <c r="L5" i="14"/>
  <c r="K5" i="14"/>
  <c r="J5" i="14"/>
  <c r="I5" i="14"/>
  <c r="H5" i="14"/>
  <c r="L4" i="14"/>
  <c r="K4" i="14"/>
  <c r="J4" i="14"/>
  <c r="I4" i="14"/>
  <c r="H4" i="14"/>
  <c r="L3" i="14"/>
  <c r="K3" i="14"/>
  <c r="J3" i="14"/>
  <c r="I3" i="14"/>
  <c r="H3" i="14"/>
  <c r="L2" i="14"/>
  <c r="K2" i="14"/>
  <c r="J2" i="14"/>
  <c r="I2" i="14"/>
  <c r="H2" i="14"/>
  <c r="G25" i="15"/>
  <c r="F25" i="15"/>
  <c r="E25" i="15"/>
  <c r="D25" i="15"/>
  <c r="C25" i="15"/>
  <c r="B25" i="15"/>
  <c r="L25" i="15" s="1"/>
  <c r="G25" i="14"/>
  <c r="F25" i="14"/>
  <c r="E25" i="14"/>
  <c r="D25" i="14"/>
  <c r="C25" i="14"/>
  <c r="B25" i="14"/>
  <c r="J25" i="14" s="1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F27" i="12"/>
  <c r="E27" i="12"/>
  <c r="D27" i="12"/>
  <c r="C27" i="12"/>
  <c r="B27" i="12"/>
  <c r="K27" i="12" s="1"/>
  <c r="F27" i="11"/>
  <c r="E27" i="11"/>
  <c r="D27" i="11"/>
  <c r="C27" i="11"/>
  <c r="B27" i="11"/>
  <c r="F27" i="10"/>
  <c r="E27" i="10"/>
  <c r="D27" i="10"/>
  <c r="C27" i="10"/>
  <c r="B27" i="10"/>
  <c r="F27" i="9"/>
  <c r="K27" i="9" s="1"/>
  <c r="E27" i="9"/>
  <c r="D27" i="9"/>
  <c r="C27" i="9"/>
  <c r="J27" i="9"/>
  <c r="F27" i="8"/>
  <c r="E27" i="8"/>
  <c r="D27" i="8"/>
  <c r="C27" i="8"/>
  <c r="B27" i="8"/>
  <c r="F27" i="7"/>
  <c r="E27" i="7"/>
  <c r="D27" i="7"/>
  <c r="C27" i="7"/>
  <c r="B27" i="7"/>
  <c r="G19" i="12"/>
  <c r="L19" i="12" s="1"/>
  <c r="G18" i="12"/>
  <c r="L18" i="12" s="1"/>
  <c r="G17" i="12"/>
  <c r="L17" i="12" s="1"/>
  <c r="G16" i="12"/>
  <c r="L16" i="12" s="1"/>
  <c r="G15" i="12"/>
  <c r="L15" i="12" s="1"/>
  <c r="G14" i="12"/>
  <c r="L14" i="12" s="1"/>
  <c r="G13" i="12"/>
  <c r="L13" i="12" s="1"/>
  <c r="G12" i="12"/>
  <c r="L12" i="12" s="1"/>
  <c r="G11" i="12"/>
  <c r="L11" i="12" s="1"/>
  <c r="G10" i="12"/>
  <c r="L10" i="12" s="1"/>
  <c r="G9" i="12"/>
  <c r="L9" i="12" s="1"/>
  <c r="G8" i="12"/>
  <c r="L8" i="12" s="1"/>
  <c r="G7" i="12"/>
  <c r="L7" i="12" s="1"/>
  <c r="G6" i="12"/>
  <c r="L6" i="12" s="1"/>
  <c r="G5" i="12"/>
  <c r="L5" i="12" s="1"/>
  <c r="G4" i="12"/>
  <c r="L4" i="12" s="1"/>
  <c r="G19" i="11"/>
  <c r="L19" i="11" s="1"/>
  <c r="G18" i="11"/>
  <c r="L18" i="11" s="1"/>
  <c r="G17" i="11"/>
  <c r="L17" i="11" s="1"/>
  <c r="G16" i="11"/>
  <c r="L16" i="11" s="1"/>
  <c r="G15" i="11"/>
  <c r="L15" i="11" s="1"/>
  <c r="G14" i="11"/>
  <c r="L14" i="11" s="1"/>
  <c r="G13" i="11"/>
  <c r="L13" i="11" s="1"/>
  <c r="G12" i="11"/>
  <c r="L12" i="11" s="1"/>
  <c r="G11" i="11"/>
  <c r="L11" i="11" s="1"/>
  <c r="G10" i="11"/>
  <c r="L10" i="11" s="1"/>
  <c r="G9" i="11"/>
  <c r="L9" i="11" s="1"/>
  <c r="G8" i="11"/>
  <c r="L8" i="11" s="1"/>
  <c r="G7" i="11"/>
  <c r="L7" i="11" s="1"/>
  <c r="G6" i="11"/>
  <c r="L6" i="11" s="1"/>
  <c r="G5" i="11"/>
  <c r="L5" i="11" s="1"/>
  <c r="G4" i="11"/>
  <c r="G19" i="10"/>
  <c r="L19" i="10" s="1"/>
  <c r="G18" i="10"/>
  <c r="L18" i="10" s="1"/>
  <c r="G17" i="10"/>
  <c r="L17" i="10" s="1"/>
  <c r="G16" i="10"/>
  <c r="L16" i="10" s="1"/>
  <c r="G15" i="10"/>
  <c r="L15" i="10" s="1"/>
  <c r="G14" i="10"/>
  <c r="L14" i="10" s="1"/>
  <c r="G13" i="10"/>
  <c r="L13" i="10" s="1"/>
  <c r="G12" i="10"/>
  <c r="L12" i="10" s="1"/>
  <c r="G11" i="10"/>
  <c r="L11" i="10" s="1"/>
  <c r="G10" i="10"/>
  <c r="L10" i="10" s="1"/>
  <c r="G9" i="10"/>
  <c r="L9" i="10" s="1"/>
  <c r="G8" i="10"/>
  <c r="L8" i="10" s="1"/>
  <c r="G7" i="10"/>
  <c r="L7" i="10" s="1"/>
  <c r="G6" i="10"/>
  <c r="L6" i="10" s="1"/>
  <c r="G5" i="10"/>
  <c r="L5" i="10" s="1"/>
  <c r="G4" i="10"/>
  <c r="L4" i="10" s="1"/>
  <c r="G19" i="9"/>
  <c r="L19" i="9" s="1"/>
  <c r="G18" i="9"/>
  <c r="L18" i="9" s="1"/>
  <c r="G17" i="9"/>
  <c r="L17" i="9" s="1"/>
  <c r="G16" i="9"/>
  <c r="L16" i="9" s="1"/>
  <c r="G15" i="9"/>
  <c r="L15" i="9" s="1"/>
  <c r="G14" i="9"/>
  <c r="L14" i="9" s="1"/>
  <c r="G13" i="9"/>
  <c r="L13" i="9" s="1"/>
  <c r="G12" i="9"/>
  <c r="L12" i="9" s="1"/>
  <c r="G11" i="9"/>
  <c r="L11" i="9" s="1"/>
  <c r="G10" i="9"/>
  <c r="L10" i="9" s="1"/>
  <c r="G9" i="9"/>
  <c r="L9" i="9" s="1"/>
  <c r="G8" i="9"/>
  <c r="L8" i="9" s="1"/>
  <c r="G7" i="9"/>
  <c r="L7" i="9" s="1"/>
  <c r="G6" i="9"/>
  <c r="L6" i="9" s="1"/>
  <c r="G5" i="9"/>
  <c r="L5" i="9" s="1"/>
  <c r="G4" i="9"/>
  <c r="G19" i="8"/>
  <c r="Q19" i="8" s="1"/>
  <c r="G18" i="8"/>
  <c r="Q18" i="8" s="1"/>
  <c r="G17" i="8"/>
  <c r="Q17" i="8" s="1"/>
  <c r="G16" i="8"/>
  <c r="Q16" i="8" s="1"/>
  <c r="G15" i="8"/>
  <c r="Q15" i="8" s="1"/>
  <c r="G14" i="8"/>
  <c r="Q14" i="8" s="1"/>
  <c r="G13" i="8"/>
  <c r="Q13" i="8" s="1"/>
  <c r="G12" i="8"/>
  <c r="Q12" i="8" s="1"/>
  <c r="G11" i="8"/>
  <c r="Q11" i="8" s="1"/>
  <c r="G10" i="8"/>
  <c r="Q10" i="8" s="1"/>
  <c r="G9" i="8"/>
  <c r="Q9" i="8" s="1"/>
  <c r="G8" i="8"/>
  <c r="Q8" i="8" s="1"/>
  <c r="G7" i="8"/>
  <c r="Q7" i="8" s="1"/>
  <c r="G6" i="8"/>
  <c r="Q6" i="8" s="1"/>
  <c r="G5" i="8"/>
  <c r="Q5" i="8" s="1"/>
  <c r="G4" i="8"/>
  <c r="G19" i="7"/>
  <c r="L19" i="7" s="1"/>
  <c r="G18" i="7"/>
  <c r="L18" i="7" s="1"/>
  <c r="G17" i="7"/>
  <c r="L17" i="7" s="1"/>
  <c r="G16" i="7"/>
  <c r="L16" i="7" s="1"/>
  <c r="G15" i="7"/>
  <c r="L15" i="7" s="1"/>
  <c r="G14" i="7"/>
  <c r="L14" i="7" s="1"/>
  <c r="G13" i="7"/>
  <c r="L13" i="7" s="1"/>
  <c r="G12" i="7"/>
  <c r="L12" i="7" s="1"/>
  <c r="G11" i="7"/>
  <c r="L11" i="7" s="1"/>
  <c r="G10" i="7"/>
  <c r="G9" i="7"/>
  <c r="L9" i="7" s="1"/>
  <c r="G8" i="7"/>
  <c r="L8" i="7" s="1"/>
  <c r="G7" i="7"/>
  <c r="L7" i="7" s="1"/>
  <c r="G6" i="7"/>
  <c r="L6" i="7" s="1"/>
  <c r="G5" i="7"/>
  <c r="L5" i="7" s="1"/>
  <c r="G4" i="7"/>
  <c r="G25" i="3"/>
  <c r="F25" i="3"/>
  <c r="E25" i="3"/>
  <c r="D25" i="3"/>
  <c r="C25" i="3"/>
  <c r="B25" i="3"/>
  <c r="L25" i="3" s="1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5" i="2"/>
  <c r="F25" i="2"/>
  <c r="E25" i="2"/>
  <c r="D25" i="2"/>
  <c r="C25" i="2"/>
  <c r="B25" i="2"/>
  <c r="L25" i="2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25" i="6"/>
  <c r="F25" i="6"/>
  <c r="E25" i="6"/>
  <c r="D25" i="6"/>
  <c r="C25" i="6"/>
  <c r="B25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5" i="5" s="1"/>
  <c r="G2" i="5"/>
  <c r="F25" i="5"/>
  <c r="D25" i="5"/>
  <c r="C25" i="5"/>
  <c r="B25" i="5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25" i="4" s="1"/>
  <c r="F25" i="4"/>
  <c r="E25" i="4"/>
  <c r="D25" i="4"/>
  <c r="C25" i="4"/>
  <c r="B25" i="4"/>
  <c r="C25" i="1"/>
  <c r="D25" i="1"/>
  <c r="E25" i="1"/>
  <c r="F25" i="1"/>
  <c r="G25" i="1"/>
  <c r="B25" i="1"/>
  <c r="L25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F23" i="15"/>
  <c r="E23" i="15"/>
  <c r="D23" i="15"/>
  <c r="C23" i="15"/>
  <c r="B23" i="15"/>
  <c r="K23" i="15" s="1"/>
  <c r="F22" i="15"/>
  <c r="E22" i="15"/>
  <c r="D22" i="15"/>
  <c r="C22" i="15"/>
  <c r="B22" i="15"/>
  <c r="K22" i="15" s="1"/>
  <c r="F23" i="14"/>
  <c r="E23" i="14"/>
  <c r="D23" i="14"/>
  <c r="C23" i="14"/>
  <c r="B23" i="14"/>
  <c r="K23" i="14" s="1"/>
  <c r="F22" i="14"/>
  <c r="E22" i="14"/>
  <c r="D22" i="14"/>
  <c r="C22" i="14"/>
  <c r="B22" i="14"/>
  <c r="K22" i="14" s="1"/>
  <c r="F25" i="12"/>
  <c r="E25" i="12"/>
  <c r="D25" i="12"/>
  <c r="C25" i="12"/>
  <c r="B25" i="12"/>
  <c r="F24" i="12"/>
  <c r="E24" i="12"/>
  <c r="D24" i="12"/>
  <c r="C24" i="12"/>
  <c r="B24" i="12"/>
  <c r="F25" i="11"/>
  <c r="E25" i="11"/>
  <c r="D25" i="11"/>
  <c r="C25" i="11"/>
  <c r="B25" i="11"/>
  <c r="F24" i="11"/>
  <c r="E24" i="11"/>
  <c r="D24" i="11"/>
  <c r="C24" i="11"/>
  <c r="B24" i="11"/>
  <c r="F25" i="10"/>
  <c r="E25" i="10"/>
  <c r="D25" i="10"/>
  <c r="C25" i="10"/>
  <c r="B25" i="10"/>
  <c r="F24" i="10"/>
  <c r="K24" i="10" s="1"/>
  <c r="E24" i="10"/>
  <c r="D24" i="10"/>
  <c r="I24" i="10" s="1"/>
  <c r="C24" i="10"/>
  <c r="B24" i="10"/>
  <c r="F25" i="9"/>
  <c r="E25" i="9"/>
  <c r="D25" i="9"/>
  <c r="C25" i="9"/>
  <c r="B25" i="9"/>
  <c r="F24" i="9"/>
  <c r="E24" i="9"/>
  <c r="D24" i="9"/>
  <c r="C24" i="9"/>
  <c r="J24" i="9" s="1"/>
  <c r="B24" i="9"/>
  <c r="H24" i="9" s="1"/>
  <c r="F25" i="8"/>
  <c r="E25" i="8"/>
  <c r="D25" i="8"/>
  <c r="C25" i="8"/>
  <c r="B25" i="8"/>
  <c r="F24" i="8"/>
  <c r="E24" i="8"/>
  <c r="D24" i="8"/>
  <c r="C24" i="8"/>
  <c r="B24" i="8"/>
  <c r="F25" i="7"/>
  <c r="K25" i="7" s="1"/>
  <c r="E25" i="7"/>
  <c r="D25" i="7"/>
  <c r="C25" i="7"/>
  <c r="B25" i="7"/>
  <c r="F24" i="7"/>
  <c r="E24" i="7"/>
  <c r="D24" i="7"/>
  <c r="C24" i="7"/>
  <c r="B24" i="7"/>
  <c r="F23" i="6"/>
  <c r="E23" i="6"/>
  <c r="D23" i="6"/>
  <c r="C23" i="6"/>
  <c r="B23" i="6"/>
  <c r="F22" i="6"/>
  <c r="E22" i="6"/>
  <c r="D22" i="6"/>
  <c r="C22" i="6"/>
  <c r="B22" i="6"/>
  <c r="F23" i="5"/>
  <c r="E23" i="5"/>
  <c r="D23" i="5"/>
  <c r="C23" i="5"/>
  <c r="B23" i="5"/>
  <c r="F22" i="5"/>
  <c r="E22" i="5"/>
  <c r="D22" i="5"/>
  <c r="C22" i="5"/>
  <c r="B22" i="5"/>
  <c r="F23" i="4"/>
  <c r="E23" i="4"/>
  <c r="D23" i="4"/>
  <c r="C23" i="4"/>
  <c r="B23" i="4"/>
  <c r="F22" i="4"/>
  <c r="E22" i="4"/>
  <c r="D22" i="4"/>
  <c r="C22" i="4"/>
  <c r="B22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3" i="4"/>
  <c r="H3" i="4"/>
  <c r="I2" i="4"/>
  <c r="H2" i="4"/>
  <c r="F23" i="3"/>
  <c r="E23" i="3"/>
  <c r="D23" i="3"/>
  <c r="C23" i="3"/>
  <c r="B23" i="3"/>
  <c r="J23" i="3" s="1"/>
  <c r="F22" i="3"/>
  <c r="E22" i="3"/>
  <c r="D22" i="3"/>
  <c r="C22" i="3"/>
  <c r="B22" i="3"/>
  <c r="K22" i="3" s="1"/>
  <c r="F23" i="2"/>
  <c r="E23" i="2"/>
  <c r="D23" i="2"/>
  <c r="C23" i="2"/>
  <c r="B23" i="2"/>
  <c r="K23" i="2" s="1"/>
  <c r="F22" i="2"/>
  <c r="E22" i="2"/>
  <c r="D22" i="2"/>
  <c r="C22" i="2"/>
  <c r="B22" i="2"/>
  <c r="I22" i="2" s="1"/>
  <c r="B23" i="1"/>
  <c r="H23" i="1" s="1"/>
  <c r="F23" i="1"/>
  <c r="C23" i="1"/>
  <c r="D23" i="1"/>
  <c r="E23" i="1"/>
  <c r="C22" i="1"/>
  <c r="D22" i="1"/>
  <c r="E22" i="1"/>
  <c r="F22" i="1"/>
  <c r="B22" i="1"/>
  <c r="K22" i="1" s="1"/>
  <c r="I23" i="15" l="1"/>
  <c r="J23" i="15"/>
  <c r="H25" i="15"/>
  <c r="I25" i="15"/>
  <c r="J25" i="15"/>
  <c r="K25" i="15"/>
  <c r="H22" i="15"/>
  <c r="I22" i="15"/>
  <c r="J22" i="15"/>
  <c r="I22" i="14"/>
  <c r="J22" i="14"/>
  <c r="K25" i="14"/>
  <c r="H23" i="14"/>
  <c r="I23" i="14"/>
  <c r="J23" i="14"/>
  <c r="H25" i="14"/>
  <c r="I25" i="14"/>
  <c r="L25" i="14"/>
  <c r="I24" i="12"/>
  <c r="H24" i="12"/>
  <c r="J25" i="11"/>
  <c r="H25" i="11"/>
  <c r="K25" i="11"/>
  <c r="I25" i="11"/>
  <c r="J27" i="11"/>
  <c r="I27" i="10"/>
  <c r="J24" i="10"/>
  <c r="M27" i="8"/>
  <c r="P27" i="8"/>
  <c r="H27" i="7"/>
  <c r="K27" i="7"/>
  <c r="J24" i="7"/>
  <c r="J25" i="7"/>
  <c r="I25" i="7"/>
  <c r="I24" i="7"/>
  <c r="H25" i="7"/>
  <c r="H22" i="6"/>
  <c r="I22" i="6"/>
  <c r="K22" i="6"/>
  <c r="J22" i="6"/>
  <c r="K23" i="6"/>
  <c r="J23" i="6"/>
  <c r="I23" i="6"/>
  <c r="H23" i="6"/>
  <c r="L25" i="6"/>
  <c r="K25" i="6"/>
  <c r="J25" i="6"/>
  <c r="I25" i="6"/>
  <c r="H25" i="6"/>
  <c r="K23" i="5"/>
  <c r="J23" i="5"/>
  <c r="I23" i="5"/>
  <c r="H23" i="5"/>
  <c r="K22" i="5"/>
  <c r="J22" i="5"/>
  <c r="I22" i="5"/>
  <c r="H22" i="5"/>
  <c r="J25" i="5"/>
  <c r="L25" i="5"/>
  <c r="K25" i="5"/>
  <c r="I25" i="5"/>
  <c r="H25" i="5"/>
  <c r="I25" i="4"/>
  <c r="L25" i="4"/>
  <c r="H25" i="4"/>
  <c r="K25" i="4"/>
  <c r="J25" i="4"/>
  <c r="I23" i="4"/>
  <c r="K23" i="4"/>
  <c r="J23" i="4"/>
  <c r="K22" i="4"/>
  <c r="J22" i="4"/>
  <c r="K23" i="3"/>
  <c r="H25" i="3"/>
  <c r="J25" i="3"/>
  <c r="K25" i="3"/>
  <c r="H22" i="3"/>
  <c r="I22" i="3"/>
  <c r="J22" i="3"/>
  <c r="H23" i="3"/>
  <c r="I23" i="3"/>
  <c r="J22" i="2"/>
  <c r="K22" i="2"/>
  <c r="H23" i="2"/>
  <c r="I23" i="2"/>
  <c r="J23" i="2"/>
  <c r="H25" i="2"/>
  <c r="I25" i="2"/>
  <c r="J25" i="2"/>
  <c r="K25" i="2"/>
  <c r="H22" i="2"/>
  <c r="K25" i="1"/>
  <c r="H22" i="1"/>
  <c r="I22" i="1"/>
  <c r="J22" i="1"/>
  <c r="J25" i="12"/>
  <c r="H25" i="12"/>
  <c r="K25" i="12"/>
  <c r="I25" i="12"/>
  <c r="I27" i="12"/>
  <c r="H27" i="12"/>
  <c r="J27" i="12"/>
  <c r="J24" i="12"/>
  <c r="K24" i="12"/>
  <c r="G27" i="12"/>
  <c r="L27" i="12" s="1"/>
  <c r="G27" i="11"/>
  <c r="L27" i="11" s="1"/>
  <c r="J24" i="11"/>
  <c r="I24" i="11"/>
  <c r="H24" i="11"/>
  <c r="K24" i="11"/>
  <c r="I27" i="11"/>
  <c r="H27" i="11"/>
  <c r="K27" i="11"/>
  <c r="L4" i="11"/>
  <c r="J25" i="10"/>
  <c r="I25" i="10"/>
  <c r="H25" i="10"/>
  <c r="J27" i="10"/>
  <c r="H27" i="10"/>
  <c r="K25" i="10"/>
  <c r="K27" i="10"/>
  <c r="H24" i="10"/>
  <c r="G27" i="10"/>
  <c r="L27" i="10" s="1"/>
  <c r="H25" i="9"/>
  <c r="G27" i="9"/>
  <c r="L27" i="9" s="1"/>
  <c r="I25" i="9"/>
  <c r="I24" i="9"/>
  <c r="I27" i="9"/>
  <c r="J25" i="9"/>
  <c r="K25" i="9"/>
  <c r="H27" i="9"/>
  <c r="K24" i="9"/>
  <c r="L4" i="9"/>
  <c r="O24" i="8"/>
  <c r="N24" i="8"/>
  <c r="M24" i="8"/>
  <c r="P24" i="8"/>
  <c r="G27" i="8"/>
  <c r="Q27" i="8" s="1"/>
  <c r="O25" i="8"/>
  <c r="O27" i="8"/>
  <c r="N25" i="8"/>
  <c r="N27" i="8"/>
  <c r="M25" i="8"/>
  <c r="P25" i="8"/>
  <c r="Q4" i="8"/>
  <c r="H24" i="7"/>
  <c r="G27" i="7"/>
  <c r="L27" i="7" s="1"/>
  <c r="J27" i="7"/>
  <c r="I27" i="7"/>
  <c r="L4" i="7"/>
  <c r="I22" i="4"/>
  <c r="H22" i="4"/>
  <c r="H23" i="4"/>
</calcChain>
</file>

<file path=xl/sharedStrings.xml><?xml version="1.0" encoding="utf-8"?>
<sst xmlns="http://schemas.openxmlformats.org/spreadsheetml/2006/main" count="512" uniqueCount="41">
  <si>
    <t>victim</t>
  </si>
  <si>
    <t>cap5</t>
  </si>
  <si>
    <t>cap98</t>
  </si>
  <si>
    <t>uncap</t>
  </si>
  <si>
    <t>conc to98</t>
  </si>
  <si>
    <t>conctouncap</t>
  </si>
  <si>
    <t>finyear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</si>
  <si>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</si>
  <si>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</si>
  <si>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</si>
  <si>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</si>
  <si>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</si>
  <si>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</si>
  <si>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</si>
  <si>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</si>
  <si>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</si>
  <si>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</si>
  <si>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</si>
  <si>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</si>
  <si>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</si>
  <si>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</si>
  <si>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</si>
  <si>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</si>
  <si>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</si>
  <si>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</si>
  <si>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</si>
  <si>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total</t>
  </si>
  <si>
    <t>average</t>
  </si>
  <si>
    <t>acq</t>
  </si>
  <si>
    <t>movave3</t>
  </si>
  <si>
    <t>moveave4</t>
  </si>
  <si>
    <t>total 16 years</t>
  </si>
  <si>
    <t>up to 2004/5)</t>
  </si>
  <si>
    <t>movave4</t>
  </si>
  <si>
    <t>concto5</t>
  </si>
  <si>
    <t>concma3</t>
  </si>
  <si>
    <t>concma4</t>
  </si>
  <si>
    <t>2023-24</t>
  </si>
  <si>
    <t>2022-23</t>
  </si>
  <si>
    <t>total 15-23</t>
  </si>
  <si>
    <t>ave 15-24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</si>
</sst>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 style="thin">
        <color theme="2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2"/>
      </left>
      <right style="thin">
        <color theme="8"/>
      </right>
      <top style="thin">
        <color theme="8"/>
      </top>
      <bottom style="thin">
        <color theme="2"/>
      </bottom>
      <diagonal/>
    </border>
    <border>
      <left style="thin">
        <color theme="2"/>
      </left>
      <right style="thin">
        <color theme="8"/>
      </right>
      <top style="thin">
        <color theme="2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2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1" fontId="0" fillId="0" borderId="0" xfId="0" applyNumberFormat="1"/>
    <xf numFmtId="2" fontId="0" fillId="0" borderId="0" xfId="0" applyNumberFormat="1"/>
    <xf numFmtId="0" fontId="0" fillId="2" borderId="4" xfId="0" applyFill="1" applyBorder="1"/>
    <xf numFmtId="0" fontId="0" fillId="2" borderId="5" xfId="0" applyFill="1" applyBorder="1"/>
    <xf numFmtId="0" fontId="0" fillId="0" borderId="5" xfId="0" applyBorder="1"/>
    <xf numFmtId="164" fontId="0" fillId="0" borderId="0" xfId="1" applyNumberFormat="1" applyFont="1"/>
    <xf numFmtId="1" fontId="0" fillId="0" borderId="1" xfId="0" applyNumberFormat="1" applyBorder="1"/>
    <xf numFmtId="0" fontId="2" fillId="0" borderId="0" xfId="2"/>
    <xf numFmtId="1" fontId="2" fillId="0" borderId="0" xfId="2" applyNumberFormat="1"/>
  </cellXfs>
  <cellStyles count="3">
    <cellStyle name="Comma" xfId="1" builtinId="3"/>
    <cellStyle name="Normal" xfId="0" builtinId="0"/>
    <cellStyle name="Normal_Sheet1" xfId="2" xr:uid="{92625A7F-5B57-4DE8-BF1D-9441107F71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98A0-21C8-4878-8582-8F18086BAEEB}">
  <dimension ref="A1:L26"/>
  <sheetViews>
    <sheetView workbookViewId="0">
      <selection activeCell="B25" sqref="B25"/>
    </sheetView>
  </sheetViews>
  <sheetFormatPr defaultRowHeight="15" x14ac:dyDescent="0.25"/>
  <cols>
    <col min="1" max="1" width="13.85546875" customWidth="1"/>
    <col min="8" max="8" width="11.85546875" customWidth="1"/>
    <col min="9" max="9" width="10.5703125" bestFit="1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30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7</v>
      </c>
      <c r="B2" s="13">
        <v>766175.87518369872</v>
      </c>
      <c r="C2">
        <v>1147989</v>
      </c>
      <c r="D2">
        <v>1238572</v>
      </c>
      <c r="E2">
        <v>1410018</v>
      </c>
      <c r="F2" s="7">
        <v>1582638.66666667</v>
      </c>
      <c r="G2">
        <f>AVERAGE(E2:E5)</f>
        <v>1702536.25</v>
      </c>
      <c r="H2" s="8">
        <f>E2/B2</f>
        <v>1.8403320251527542</v>
      </c>
      <c r="I2" s="8">
        <f>D2/B2</f>
        <v>1.6165635595130678</v>
      </c>
      <c r="J2" s="8">
        <f>C2/B2</f>
        <v>1.4983361355834357</v>
      </c>
      <c r="K2" s="8">
        <f>F2/B2</f>
        <v>2.0656336461745362</v>
      </c>
      <c r="L2" s="8">
        <f>G2/B2</f>
        <v>2.2221219763566675</v>
      </c>
    </row>
    <row r="3" spans="1:12" x14ac:dyDescent="0.25">
      <c r="A3" s="9" t="s">
        <v>8</v>
      </c>
      <c r="B3" s="2">
        <v>810519</v>
      </c>
      <c r="C3" s="2">
        <v>1250754</v>
      </c>
      <c r="D3" s="2">
        <v>1342293</v>
      </c>
      <c r="E3" s="2">
        <v>1739349</v>
      </c>
      <c r="F3" s="7">
        <v>1800042.3333333333</v>
      </c>
      <c r="G3">
        <f t="shared" ref="G3:G17" si="0">AVERAGE(E3:E6)</f>
        <v>1850972.5</v>
      </c>
      <c r="H3" s="8">
        <f t="shared" ref="H3:H20" si="1">E3/B3</f>
        <v>2.1459694343994404</v>
      </c>
      <c r="I3" s="8">
        <f t="shared" ref="I3:I25" si="2">D3/B3</f>
        <v>1.6560907270526664</v>
      </c>
      <c r="J3" s="8">
        <f t="shared" ref="J3:J25" si="3">C3/B3</f>
        <v>1.5431519803977451</v>
      </c>
      <c r="K3" s="8">
        <f t="shared" ref="K3:K25" si="4">F3/B3</f>
        <v>2.2208514955643648</v>
      </c>
      <c r="L3" s="8">
        <f t="shared" ref="L3:L25" si="5">G3/B3</f>
        <v>2.283687982638285</v>
      </c>
    </row>
    <row r="4" spans="1:12" x14ac:dyDescent="0.25">
      <c r="A4" t="s">
        <v>9</v>
      </c>
      <c r="B4" s="3">
        <v>814272</v>
      </c>
      <c r="C4">
        <v>1257086</v>
      </c>
      <c r="D4">
        <v>1419608</v>
      </c>
      <c r="E4">
        <v>1598549</v>
      </c>
      <c r="F4" s="7">
        <v>1888180.3333333333</v>
      </c>
      <c r="G4">
        <f t="shared" si="0"/>
        <v>2012695.5</v>
      </c>
      <c r="H4" s="8">
        <f t="shared" si="1"/>
        <v>1.9631634146820718</v>
      </c>
      <c r="I4" s="8">
        <f t="shared" si="2"/>
        <v>1.7434076082684902</v>
      </c>
      <c r="J4" s="8">
        <f t="shared" si="3"/>
        <v>1.5438158256700463</v>
      </c>
      <c r="K4" s="8">
        <f t="shared" si="4"/>
        <v>2.3188570076501871</v>
      </c>
      <c r="L4" s="8">
        <f t="shared" si="5"/>
        <v>2.4717729456496111</v>
      </c>
    </row>
    <row r="5" spans="1:12" x14ac:dyDescent="0.25">
      <c r="A5" t="s">
        <v>10</v>
      </c>
      <c r="B5" s="4">
        <v>775589</v>
      </c>
      <c r="C5">
        <v>1245242</v>
      </c>
      <c r="D5">
        <v>1430298</v>
      </c>
      <c r="E5">
        <v>2062229</v>
      </c>
      <c r="F5" s="7">
        <v>2150744.3333333335</v>
      </c>
      <c r="G5">
        <f t="shared" si="0"/>
        <v>2191326.25</v>
      </c>
      <c r="H5" s="8">
        <f t="shared" si="1"/>
        <v>2.6589198660630822</v>
      </c>
      <c r="I5" s="8">
        <f t="shared" si="2"/>
        <v>1.8441442568164323</v>
      </c>
      <c r="J5" s="8">
        <f t="shared" si="3"/>
        <v>1.6055436577878233</v>
      </c>
      <c r="K5" s="8">
        <f t="shared" si="4"/>
        <v>2.7730464631826051</v>
      </c>
      <c r="L5" s="8">
        <f t="shared" si="5"/>
        <v>2.8253704603855909</v>
      </c>
    </row>
    <row r="6" spans="1:12" x14ac:dyDescent="0.25">
      <c r="A6" t="s">
        <v>11</v>
      </c>
      <c r="B6" s="5">
        <v>826321</v>
      </c>
      <c r="C6">
        <v>1268427</v>
      </c>
      <c r="D6">
        <v>1465346</v>
      </c>
      <c r="E6">
        <v>2003763</v>
      </c>
      <c r="F6" s="7">
        <v>2234358.6666666665</v>
      </c>
      <c r="G6">
        <f t="shared" si="0"/>
        <v>2679032</v>
      </c>
      <c r="H6" s="8">
        <f t="shared" si="1"/>
        <v>2.424920823747672</v>
      </c>
      <c r="I6" s="8">
        <f t="shared" si="2"/>
        <v>1.7733374802286279</v>
      </c>
      <c r="J6" s="8">
        <f t="shared" si="3"/>
        <v>1.5350293651014557</v>
      </c>
      <c r="K6" s="8">
        <f t="shared" si="4"/>
        <v>2.7039838835835788</v>
      </c>
      <c r="L6" s="8">
        <f t="shared" si="5"/>
        <v>3.2421201930000567</v>
      </c>
    </row>
    <row r="7" spans="1:12" x14ac:dyDescent="0.25">
      <c r="A7" t="s">
        <v>12</v>
      </c>
      <c r="B7" s="6">
        <v>815178</v>
      </c>
      <c r="C7">
        <v>1292318</v>
      </c>
      <c r="D7">
        <v>1690516</v>
      </c>
      <c r="E7">
        <v>2386241</v>
      </c>
      <c r="F7" s="7">
        <v>2904121.6666666665</v>
      </c>
      <c r="G7">
        <f t="shared" si="0"/>
        <v>3001523.5</v>
      </c>
      <c r="H7" s="8">
        <f t="shared" si="1"/>
        <v>2.9272637387171883</v>
      </c>
      <c r="I7" s="8">
        <f t="shared" si="2"/>
        <v>2.0737998326745815</v>
      </c>
      <c r="J7" s="8">
        <f t="shared" si="3"/>
        <v>1.5853200159965062</v>
      </c>
      <c r="K7" s="8">
        <f t="shared" si="4"/>
        <v>3.5625613874106841</v>
      </c>
      <c r="L7" s="8">
        <f t="shared" si="5"/>
        <v>3.6820467431652966</v>
      </c>
    </row>
    <row r="8" spans="1:12" x14ac:dyDescent="0.25">
      <c r="A8" t="s">
        <v>13</v>
      </c>
      <c r="B8" s="1">
        <v>836121</v>
      </c>
      <c r="C8">
        <v>1314776</v>
      </c>
      <c r="D8">
        <v>1550469</v>
      </c>
      <c r="E8">
        <v>2313072</v>
      </c>
      <c r="F8" s="7">
        <v>3206617.6666666665</v>
      </c>
      <c r="G8">
        <f t="shared" si="0"/>
        <v>3257485.75</v>
      </c>
      <c r="H8" s="8">
        <f t="shared" si="1"/>
        <v>2.7664321312345939</v>
      </c>
      <c r="I8" s="8">
        <f t="shared" si="2"/>
        <v>1.8543595962785291</v>
      </c>
      <c r="J8" s="8">
        <f t="shared" si="3"/>
        <v>1.5724709701107853</v>
      </c>
      <c r="K8" s="8">
        <f t="shared" si="4"/>
        <v>3.8351119833931531</v>
      </c>
      <c r="L8" s="8">
        <f t="shared" si="5"/>
        <v>3.8959501674996799</v>
      </c>
    </row>
    <row r="9" spans="1:12" x14ac:dyDescent="0.25">
      <c r="A9" t="s">
        <v>14</v>
      </c>
      <c r="B9" s="2">
        <v>989538</v>
      </c>
      <c r="C9">
        <v>1655944</v>
      </c>
      <c r="D9">
        <v>1929722</v>
      </c>
      <c r="E9">
        <v>4013052</v>
      </c>
      <c r="F9" s="7">
        <v>3572290.3333333335</v>
      </c>
      <c r="G9">
        <f t="shared" si="0"/>
        <v>3221730.5</v>
      </c>
      <c r="H9" s="8">
        <f t="shared" si="1"/>
        <v>4.0554804363248307</v>
      </c>
      <c r="I9" s="8">
        <f t="shared" si="2"/>
        <v>1.9501241993738492</v>
      </c>
      <c r="J9" s="8">
        <f t="shared" si="3"/>
        <v>1.6734516511745885</v>
      </c>
      <c r="K9" s="8">
        <f t="shared" si="4"/>
        <v>3.6100587681658851</v>
      </c>
      <c r="L9" s="8">
        <f t="shared" si="5"/>
        <v>3.2557926022042611</v>
      </c>
    </row>
    <row r="10" spans="1:12" x14ac:dyDescent="0.25">
      <c r="A10" t="s">
        <v>15</v>
      </c>
      <c r="B10" s="3">
        <v>1183583</v>
      </c>
      <c r="C10">
        <v>1901231</v>
      </c>
      <c r="D10">
        <v>2128970</v>
      </c>
      <c r="E10">
        <v>3293729</v>
      </c>
      <c r="F10" s="7">
        <v>2957956.6666666665</v>
      </c>
      <c r="G10">
        <f t="shared" si="0"/>
        <v>3057573.75</v>
      </c>
      <c r="H10" s="8">
        <f t="shared" si="1"/>
        <v>2.7828458164742145</v>
      </c>
      <c r="I10" s="8">
        <f t="shared" si="2"/>
        <v>1.7987500665352578</v>
      </c>
      <c r="J10" s="8">
        <f t="shared" si="3"/>
        <v>1.6063351704105246</v>
      </c>
      <c r="K10" s="8">
        <f t="shared" si="4"/>
        <v>2.4991544037610089</v>
      </c>
      <c r="L10" s="8">
        <f t="shared" si="5"/>
        <v>2.5833200966894592</v>
      </c>
    </row>
    <row r="11" spans="1:12" x14ac:dyDescent="0.25">
      <c r="A11" t="s">
        <v>16</v>
      </c>
      <c r="B11" s="4">
        <v>1194800</v>
      </c>
      <c r="C11">
        <v>1900281</v>
      </c>
      <c r="D11">
        <v>2126494</v>
      </c>
      <c r="E11">
        <v>3410090</v>
      </c>
      <c r="F11" s="7">
        <v>2978855.3333333335</v>
      </c>
      <c r="G11">
        <f t="shared" si="0"/>
        <v>2954362.25</v>
      </c>
      <c r="H11" s="8">
        <f t="shared" si="1"/>
        <v>2.854109474389019</v>
      </c>
      <c r="I11" s="8">
        <f t="shared" si="2"/>
        <v>1.7797907599598259</v>
      </c>
      <c r="J11" s="8">
        <f t="shared" si="3"/>
        <v>1.5904594911282224</v>
      </c>
      <c r="K11" s="8">
        <f t="shared" si="4"/>
        <v>2.4931832384778487</v>
      </c>
      <c r="L11" s="8">
        <f t="shared" si="5"/>
        <v>2.4726835035152326</v>
      </c>
    </row>
    <row r="12" spans="1:12" x14ac:dyDescent="0.25">
      <c r="A12" t="s">
        <v>17</v>
      </c>
      <c r="B12" s="5">
        <v>1068107</v>
      </c>
      <c r="C12">
        <v>1695675</v>
      </c>
      <c r="D12">
        <v>1840602</v>
      </c>
      <c r="E12">
        <v>2170051</v>
      </c>
      <c r="F12" s="7">
        <v>2802453</v>
      </c>
      <c r="G12">
        <f t="shared" si="0"/>
        <v>3075478.25</v>
      </c>
      <c r="H12" s="8">
        <f t="shared" si="1"/>
        <v>2.0316794103961495</v>
      </c>
      <c r="I12" s="8">
        <f t="shared" si="2"/>
        <v>1.7232374659093144</v>
      </c>
      <c r="J12" s="8">
        <f t="shared" si="3"/>
        <v>1.5875516217008221</v>
      </c>
      <c r="K12" s="8">
        <f t="shared" si="4"/>
        <v>2.6237567959015342</v>
      </c>
      <c r="L12" s="8">
        <f t="shared" si="5"/>
        <v>2.8793728062825168</v>
      </c>
    </row>
    <row r="13" spans="1:12" x14ac:dyDescent="0.25">
      <c r="A13" t="s">
        <v>18</v>
      </c>
      <c r="B13" s="6">
        <v>1248968</v>
      </c>
      <c r="C13">
        <v>1944547</v>
      </c>
      <c r="D13">
        <v>2075896</v>
      </c>
      <c r="E13">
        <v>3356425</v>
      </c>
      <c r="F13" s="7">
        <v>3377287.3333333335</v>
      </c>
      <c r="G13">
        <f t="shared" si="0"/>
        <v>3550499.75</v>
      </c>
      <c r="H13" s="8">
        <f t="shared" si="1"/>
        <v>2.6873586833289562</v>
      </c>
      <c r="I13" s="8">
        <f t="shared" si="2"/>
        <v>1.6620890206954861</v>
      </c>
      <c r="J13" s="8">
        <f t="shared" si="3"/>
        <v>1.5569229956251882</v>
      </c>
      <c r="K13" s="8">
        <f t="shared" si="4"/>
        <v>2.7040623405350126</v>
      </c>
      <c r="L13" s="8">
        <f t="shared" si="5"/>
        <v>2.8427467717347441</v>
      </c>
    </row>
    <row r="14" spans="1:12" x14ac:dyDescent="0.25">
      <c r="A14" t="s">
        <v>19</v>
      </c>
      <c r="B14" s="1">
        <v>1271828</v>
      </c>
      <c r="C14">
        <v>2032882</v>
      </c>
      <c r="D14">
        <v>2233420</v>
      </c>
      <c r="E14">
        <v>2880883</v>
      </c>
      <c r="F14" s="7">
        <v>3615191.3333333335</v>
      </c>
      <c r="G14">
        <f t="shared" si="0"/>
        <v>3534357.25</v>
      </c>
      <c r="H14" s="8">
        <f t="shared" si="1"/>
        <v>2.2651514198460796</v>
      </c>
      <c r="I14" s="8">
        <f t="shared" si="2"/>
        <v>1.7560707894463716</v>
      </c>
      <c r="J14" s="8">
        <f t="shared" si="3"/>
        <v>1.598393807967744</v>
      </c>
      <c r="K14" s="8">
        <f t="shared" si="4"/>
        <v>2.8425159167224918</v>
      </c>
      <c r="L14" s="8">
        <f t="shared" si="5"/>
        <v>2.778958514830622</v>
      </c>
    </row>
    <row r="15" spans="1:12" x14ac:dyDescent="0.25">
      <c r="A15" t="s">
        <v>20</v>
      </c>
      <c r="B15" s="2">
        <v>1416086</v>
      </c>
      <c r="C15">
        <v>2349054</v>
      </c>
      <c r="D15">
        <v>2615926</v>
      </c>
      <c r="E15">
        <v>3894554</v>
      </c>
      <c r="F15" s="7">
        <v>3752182</v>
      </c>
      <c r="G15">
        <f t="shared" si="0"/>
        <v>3736765.5</v>
      </c>
      <c r="H15" s="8">
        <f t="shared" si="1"/>
        <v>2.7502242095465954</v>
      </c>
      <c r="I15" s="8">
        <f t="shared" si="2"/>
        <v>1.847293172872269</v>
      </c>
      <c r="J15" s="8">
        <f t="shared" si="3"/>
        <v>1.6588356921825369</v>
      </c>
      <c r="K15" s="8">
        <f t="shared" si="4"/>
        <v>2.6496851179942462</v>
      </c>
      <c r="L15" s="8">
        <f t="shared" si="5"/>
        <v>2.6387984204349171</v>
      </c>
    </row>
    <row r="16" spans="1:12" x14ac:dyDescent="0.25">
      <c r="A16" t="s">
        <v>21</v>
      </c>
      <c r="B16" s="3">
        <v>1284966</v>
      </c>
      <c r="C16">
        <v>2131884</v>
      </c>
      <c r="D16">
        <v>2415418</v>
      </c>
      <c r="E16">
        <v>4070137</v>
      </c>
      <c r="F16" s="7">
        <v>3684169.3333333335</v>
      </c>
      <c r="G16">
        <f t="shared" si="0"/>
        <v>3710294.25</v>
      </c>
      <c r="H16" s="8">
        <f t="shared" si="1"/>
        <v>3.1675055993699446</v>
      </c>
      <c r="I16" s="8">
        <f t="shared" si="2"/>
        <v>1.8797524603763835</v>
      </c>
      <c r="J16" s="8">
        <f t="shared" si="3"/>
        <v>1.6590975948001736</v>
      </c>
      <c r="K16" s="8">
        <f t="shared" si="4"/>
        <v>2.867133708855591</v>
      </c>
      <c r="L16" s="8">
        <f t="shared" si="5"/>
        <v>2.8874649212508348</v>
      </c>
    </row>
    <row r="17" spans="1:12" x14ac:dyDescent="0.25">
      <c r="A17" t="s">
        <v>22</v>
      </c>
      <c r="B17" s="4">
        <v>1295781</v>
      </c>
      <c r="C17">
        <v>2126214</v>
      </c>
      <c r="D17">
        <v>2336310</v>
      </c>
      <c r="E17">
        <v>3291855</v>
      </c>
      <c r="F17" s="7">
        <v>3590346.6666666665</v>
      </c>
      <c r="G17">
        <f t="shared" si="0"/>
        <v>3710711.75</v>
      </c>
      <c r="H17" s="8">
        <f t="shared" si="1"/>
        <v>2.5404408615344725</v>
      </c>
      <c r="I17" s="8">
        <f t="shared" si="2"/>
        <v>1.8030130091427488</v>
      </c>
      <c r="J17" s="8">
        <f t="shared" si="3"/>
        <v>1.6408744996260942</v>
      </c>
      <c r="K17" s="8">
        <f t="shared" si="4"/>
        <v>2.7707974315618662</v>
      </c>
      <c r="L17" s="8">
        <f t="shared" si="5"/>
        <v>2.8636874209453604</v>
      </c>
    </row>
    <row r="18" spans="1:12" x14ac:dyDescent="0.25">
      <c r="A18" t="s">
        <v>23</v>
      </c>
      <c r="B18" s="5">
        <v>1473252</v>
      </c>
      <c r="C18">
        <v>2363974</v>
      </c>
      <c r="D18">
        <v>2553906</v>
      </c>
      <c r="E18">
        <v>3690516</v>
      </c>
      <c r="F18" s="7">
        <v>3850330.6666666665</v>
      </c>
      <c r="H18" s="8">
        <f t="shared" si="1"/>
        <v>2.5050133989297145</v>
      </c>
      <c r="I18" s="8">
        <f t="shared" si="2"/>
        <v>1.7335160583525426</v>
      </c>
      <c r="J18" s="8">
        <f t="shared" si="3"/>
        <v>1.6045958193167225</v>
      </c>
      <c r="K18" s="8">
        <f t="shared" si="4"/>
        <v>2.6134908804920451</v>
      </c>
      <c r="L18" s="8"/>
    </row>
    <row r="19" spans="1:12" x14ac:dyDescent="0.25">
      <c r="A19" s="10" t="s">
        <v>24</v>
      </c>
      <c r="B19" s="6">
        <v>1444446</v>
      </c>
      <c r="C19">
        <v>2478514</v>
      </c>
      <c r="D19">
        <v>2780289</v>
      </c>
      <c r="E19">
        <v>3788669</v>
      </c>
      <c r="H19" s="8">
        <f t="shared" si="1"/>
        <v>2.6229218676226043</v>
      </c>
      <c r="I19" s="8">
        <f t="shared" si="2"/>
        <v>1.9248133886625045</v>
      </c>
      <c r="J19" s="8">
        <f t="shared" si="3"/>
        <v>1.7158924598081202</v>
      </c>
      <c r="K19" s="8"/>
      <c r="L19" s="8"/>
    </row>
    <row r="20" spans="1:12" x14ac:dyDescent="0.25">
      <c r="A20" s="11" t="s">
        <v>25</v>
      </c>
      <c r="B20" s="1">
        <v>1381737</v>
      </c>
      <c r="C20">
        <v>2360387</v>
      </c>
      <c r="D20">
        <v>2602057</v>
      </c>
      <c r="E20">
        <v>4071807</v>
      </c>
      <c r="H20" s="8">
        <f t="shared" si="1"/>
        <v>2.9468755631498613</v>
      </c>
      <c r="I20" s="8">
        <f t="shared" si="2"/>
        <v>1.883178202508871</v>
      </c>
      <c r="J20" s="8">
        <f t="shared" si="3"/>
        <v>1.708275163797452</v>
      </c>
      <c r="K20" s="8"/>
      <c r="L20" s="8"/>
    </row>
    <row r="21" spans="1:12" x14ac:dyDescent="0.25">
      <c r="I21" s="8"/>
      <c r="J21" s="8"/>
      <c r="K21" s="8"/>
      <c r="L21" s="8"/>
    </row>
    <row r="22" spans="1:12" x14ac:dyDescent="0.25">
      <c r="A22" t="s">
        <v>26</v>
      </c>
      <c r="B22">
        <f>SUM(B2:B21)</f>
        <v>20897267.875183698</v>
      </c>
      <c r="C22">
        <f t="shared" ref="C22:F22" si="6">SUM(C2:C21)</f>
        <v>33717179</v>
      </c>
      <c r="D22">
        <f t="shared" si="6"/>
        <v>37776112</v>
      </c>
      <c r="E22">
        <f t="shared" si="6"/>
        <v>55444989</v>
      </c>
      <c r="F22">
        <f t="shared" si="6"/>
        <v>49947766.333333328</v>
      </c>
      <c r="H22" s="8">
        <f t="shared" ref="H22:H25" si="7">E22/B22</f>
        <v>2.6532171253756593</v>
      </c>
      <c r="I22" s="8">
        <f t="shared" si="2"/>
        <v>1.8077057836283266</v>
      </c>
      <c r="J22" s="8">
        <f t="shared" si="3"/>
        <v>1.6134730722402442</v>
      </c>
      <c r="K22" s="8">
        <f t="shared" si="4"/>
        <v>2.3901577293100695</v>
      </c>
      <c r="L22" s="8"/>
    </row>
    <row r="23" spans="1:12" x14ac:dyDescent="0.25">
      <c r="A23" t="s">
        <v>27</v>
      </c>
      <c r="B23">
        <f>AVERAGE(B2:B20)</f>
        <v>1099856.2039570368</v>
      </c>
      <c r="C23">
        <f t="shared" ref="C23:E23" si="8">AVERAGE(C2:C20)</f>
        <v>1774588.3684210526</v>
      </c>
      <c r="D23">
        <f t="shared" si="8"/>
        <v>1988216.4210526317</v>
      </c>
      <c r="E23">
        <f t="shared" si="8"/>
        <v>2918157.3157894737</v>
      </c>
      <c r="F23" s="7">
        <f>AVERAGE(F2:F18)</f>
        <v>2938103.9019607841</v>
      </c>
      <c r="H23" s="8">
        <f t="shared" si="7"/>
        <v>2.6532171253756589</v>
      </c>
      <c r="I23" s="8">
        <f t="shared" si="2"/>
        <v>1.8077057836283263</v>
      </c>
      <c r="J23" s="8">
        <f t="shared" si="3"/>
        <v>1.6134730722402439</v>
      </c>
      <c r="K23" s="8">
        <f t="shared" si="4"/>
        <v>2.6713527562877246</v>
      </c>
      <c r="L23" s="8"/>
    </row>
    <row r="24" spans="1:12" x14ac:dyDescent="0.25">
      <c r="I24" s="8"/>
      <c r="J24" s="8"/>
      <c r="K24" s="8"/>
      <c r="L24" s="8"/>
    </row>
    <row r="25" spans="1:12" x14ac:dyDescent="0.25">
      <c r="A25" t="s">
        <v>31</v>
      </c>
      <c r="B25">
        <f>SUM(B2:B17)</f>
        <v>16597832.875183698</v>
      </c>
      <c r="C25">
        <f t="shared" ref="C25:G25" si="9">SUM(C2:C17)</f>
        <v>26514304</v>
      </c>
      <c r="D25">
        <f t="shared" si="9"/>
        <v>29839860</v>
      </c>
      <c r="E25">
        <f t="shared" si="9"/>
        <v>43893997</v>
      </c>
      <c r="F25">
        <f t="shared" si="9"/>
        <v>46097435.666666664</v>
      </c>
      <c r="G25">
        <f t="shared" si="9"/>
        <v>47247345</v>
      </c>
      <c r="H25" s="8">
        <f t="shared" si="7"/>
        <v>2.644561933481584</v>
      </c>
      <c r="I25" s="8">
        <f t="shared" si="2"/>
        <v>1.7978166321107596</v>
      </c>
      <c r="J25" s="8">
        <f t="shared" si="3"/>
        <v>1.5974557762684154</v>
      </c>
      <c r="K25" s="8">
        <f t="shared" si="4"/>
        <v>2.7773165336294832</v>
      </c>
      <c r="L25" s="8">
        <f t="shared" si="5"/>
        <v>2.8465972247884253</v>
      </c>
    </row>
    <row r="26" spans="1:12" x14ac:dyDescent="0.25">
      <c r="A2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2FC4-77D0-4E3C-882F-3983251C68E6}">
  <dimension ref="A1:L26"/>
  <sheetViews>
    <sheetView workbookViewId="0">
      <selection activeCell="F1" sqref="F1"/>
    </sheetView>
  </sheetViews>
  <sheetFormatPr defaultRowHeight="15" x14ac:dyDescent="0.25"/>
  <cols>
    <col min="8" max="9" width="11.425781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7</v>
      </c>
      <c r="B2" s="7">
        <v>462326.86812277843</v>
      </c>
      <c r="C2">
        <v>679089</v>
      </c>
      <c r="D2">
        <v>740048</v>
      </c>
      <c r="E2">
        <v>826826</v>
      </c>
      <c r="F2" s="7">
        <v>915969.66666666663</v>
      </c>
      <c r="G2" s="7">
        <f>AVERAGE(E2:E5)</f>
        <v>1004743.5</v>
      </c>
      <c r="H2" s="8">
        <f>E2/B2</f>
        <v>1.78840136061576</v>
      </c>
      <c r="I2" s="8">
        <f>D2/B2</f>
        <v>1.6007029896507512</v>
      </c>
      <c r="J2" s="8">
        <f>C2/B2</f>
        <v>1.4688503888111839</v>
      </c>
      <c r="K2" s="8">
        <f>F2/B2</f>
        <v>1.9812166019808652</v>
      </c>
      <c r="L2" s="8">
        <f>G2/B2</f>
        <v>2.173231904257777</v>
      </c>
    </row>
    <row r="3" spans="1:12" x14ac:dyDescent="0.25">
      <c r="A3" s="9" t="s">
        <v>8</v>
      </c>
      <c r="B3">
        <v>484993</v>
      </c>
      <c r="C3" s="9">
        <v>715384</v>
      </c>
      <c r="D3" s="9">
        <v>774280</v>
      </c>
      <c r="E3" s="9">
        <v>1023461</v>
      </c>
      <c r="F3" s="7">
        <v>1064049.3333333333</v>
      </c>
      <c r="G3" s="7">
        <f t="shared" ref="G3:G17" si="0">AVERAGE(E3:E6)</f>
        <v>1117830.75</v>
      </c>
      <c r="H3" s="8">
        <f t="shared" ref="H3:H20" si="1">E3/B3</f>
        <v>2.1102593233304399</v>
      </c>
      <c r="I3" s="8">
        <f t="shared" ref="I3:I23" si="2">D3/B3</f>
        <v>1.5964766501784562</v>
      </c>
      <c r="J3" s="8">
        <f t="shared" ref="J3:J23" si="3">C3/B3</f>
        <v>1.4750398459359206</v>
      </c>
      <c r="K3" s="8">
        <f t="shared" ref="K3:K23" si="4">F3/B3</f>
        <v>2.1939478164289654</v>
      </c>
      <c r="L3" s="8">
        <f t="shared" ref="L3:L17" si="5">G3/B3</f>
        <v>2.3048389358196921</v>
      </c>
    </row>
    <row r="4" spans="1:12" x14ac:dyDescent="0.25">
      <c r="A4" t="s">
        <v>9</v>
      </c>
      <c r="B4">
        <v>530563</v>
      </c>
      <c r="C4">
        <v>769220</v>
      </c>
      <c r="D4">
        <v>838620</v>
      </c>
      <c r="E4">
        <v>897622</v>
      </c>
      <c r="F4" s="7">
        <v>1149287.3333333333</v>
      </c>
      <c r="G4" s="7">
        <f t="shared" si="0"/>
        <v>1218360</v>
      </c>
      <c r="H4" s="8">
        <f t="shared" si="1"/>
        <v>1.6918292455372876</v>
      </c>
      <c r="I4" s="8">
        <f t="shared" si="2"/>
        <v>1.5806228478050675</v>
      </c>
      <c r="J4" s="8">
        <f t="shared" si="3"/>
        <v>1.4498184004538575</v>
      </c>
      <c r="K4" s="8">
        <f t="shared" si="4"/>
        <v>2.1661656265765483</v>
      </c>
      <c r="L4" s="8">
        <f t="shared" si="5"/>
        <v>2.2963531192337197</v>
      </c>
    </row>
    <row r="5" spans="1:12" x14ac:dyDescent="0.25">
      <c r="A5" t="s">
        <v>10</v>
      </c>
      <c r="B5">
        <v>473792</v>
      </c>
      <c r="C5">
        <v>760452</v>
      </c>
      <c r="D5">
        <v>874934</v>
      </c>
      <c r="E5">
        <v>1271065</v>
      </c>
      <c r="F5" s="7">
        <v>1325272.6666666667</v>
      </c>
      <c r="G5" s="7">
        <f t="shared" si="0"/>
        <v>1353165.25</v>
      </c>
      <c r="H5" s="8">
        <f t="shared" si="1"/>
        <v>2.6827489700121574</v>
      </c>
      <c r="I5" s="8">
        <f t="shared" si="2"/>
        <v>1.8466626705389706</v>
      </c>
      <c r="J5" s="8">
        <f t="shared" si="3"/>
        <v>1.6050334323922735</v>
      </c>
      <c r="K5" s="8">
        <f t="shared" si="4"/>
        <v>2.7971613422486379</v>
      </c>
      <c r="L5" s="8">
        <f t="shared" si="5"/>
        <v>2.8560322884303662</v>
      </c>
    </row>
    <row r="6" spans="1:12" x14ac:dyDescent="0.25">
      <c r="A6" t="s">
        <v>11</v>
      </c>
      <c r="B6">
        <v>498294</v>
      </c>
      <c r="C6">
        <v>758440</v>
      </c>
      <c r="D6">
        <v>881135</v>
      </c>
      <c r="E6">
        <v>1279175</v>
      </c>
      <c r="F6" s="7">
        <v>1380532</v>
      </c>
      <c r="G6" s="7">
        <f t="shared" si="0"/>
        <v>1431931</v>
      </c>
      <c r="H6" s="8">
        <f t="shared" si="1"/>
        <v>2.5671089758255166</v>
      </c>
      <c r="I6" s="8">
        <f t="shared" si="2"/>
        <v>1.7683034513760953</v>
      </c>
      <c r="J6" s="8">
        <f t="shared" si="3"/>
        <v>1.5220733141478726</v>
      </c>
      <c r="K6" s="8">
        <f t="shared" si="4"/>
        <v>2.7705170040177083</v>
      </c>
      <c r="L6" s="8">
        <f t="shared" si="5"/>
        <v>2.8736669516389921</v>
      </c>
    </row>
    <row r="7" spans="1:12" x14ac:dyDescent="0.25">
      <c r="A7" t="s">
        <v>12</v>
      </c>
      <c r="B7">
        <v>519345</v>
      </c>
      <c r="C7">
        <v>790998</v>
      </c>
      <c r="D7">
        <v>1002566</v>
      </c>
      <c r="E7">
        <v>1425578</v>
      </c>
      <c r="F7" s="7">
        <v>1482849.6666666667</v>
      </c>
      <c r="G7" s="7">
        <f t="shared" si="0"/>
        <v>1555988</v>
      </c>
      <c r="H7" s="8">
        <f t="shared" si="1"/>
        <v>2.744953739806872</v>
      </c>
      <c r="I7" s="8">
        <f t="shared" si="2"/>
        <v>1.930443154357893</v>
      </c>
      <c r="J7" s="8">
        <f t="shared" si="3"/>
        <v>1.5230684804898478</v>
      </c>
      <c r="K7" s="8">
        <f t="shared" si="4"/>
        <v>2.8552304665813031</v>
      </c>
      <c r="L7" s="8">
        <f t="shared" si="5"/>
        <v>2.9960584967603423</v>
      </c>
    </row>
    <row r="8" spans="1:12" x14ac:dyDescent="0.25">
      <c r="A8" t="s">
        <v>13</v>
      </c>
      <c r="B8">
        <v>517171</v>
      </c>
      <c r="C8">
        <v>812983</v>
      </c>
      <c r="D8">
        <v>964005</v>
      </c>
      <c r="E8">
        <v>1436843</v>
      </c>
      <c r="F8" s="7">
        <v>1599458</v>
      </c>
      <c r="G8" s="7">
        <f t="shared" si="0"/>
        <v>1663976.25</v>
      </c>
      <c r="H8" s="8">
        <f t="shared" si="1"/>
        <v>2.778274497216588</v>
      </c>
      <c r="I8" s="8">
        <f t="shared" si="2"/>
        <v>1.8639966278078237</v>
      </c>
      <c r="J8" s="8">
        <f t="shared" si="3"/>
        <v>1.5719810275518156</v>
      </c>
      <c r="K8" s="8">
        <f t="shared" si="4"/>
        <v>3.0927062809012882</v>
      </c>
      <c r="L8" s="8">
        <f t="shared" si="5"/>
        <v>3.2174585388585206</v>
      </c>
    </row>
    <row r="9" spans="1:12" x14ac:dyDescent="0.25">
      <c r="A9" t="s">
        <v>14</v>
      </c>
      <c r="B9">
        <v>598709</v>
      </c>
      <c r="C9">
        <v>917738</v>
      </c>
      <c r="D9">
        <v>1011320</v>
      </c>
      <c r="E9">
        <v>1586128</v>
      </c>
      <c r="F9" s="7">
        <v>1739687.3333333333</v>
      </c>
      <c r="G9" s="7">
        <f t="shared" si="0"/>
        <v>1657083</v>
      </c>
      <c r="H9" s="8">
        <f t="shared" si="1"/>
        <v>2.6492469630488267</v>
      </c>
      <c r="I9" s="8">
        <f t="shared" si="2"/>
        <v>1.689167859511048</v>
      </c>
      <c r="J9" s="8">
        <f t="shared" si="3"/>
        <v>1.5328615404144585</v>
      </c>
      <c r="K9" s="8">
        <f t="shared" si="4"/>
        <v>2.9057310535390872</v>
      </c>
      <c r="L9" s="8">
        <f t="shared" si="5"/>
        <v>2.7677602975736124</v>
      </c>
    </row>
    <row r="10" spans="1:12" x14ac:dyDescent="0.25">
      <c r="A10" t="s">
        <v>15</v>
      </c>
      <c r="B10">
        <v>716591</v>
      </c>
      <c r="C10">
        <v>1113418</v>
      </c>
      <c r="D10">
        <v>1231059</v>
      </c>
      <c r="E10">
        <v>1775403</v>
      </c>
      <c r="F10" s="7">
        <v>1680734.6666666667</v>
      </c>
      <c r="G10" s="7">
        <f t="shared" si="0"/>
        <v>1751229.75</v>
      </c>
      <c r="H10" s="8">
        <f t="shared" si="1"/>
        <v>2.4775680967246307</v>
      </c>
      <c r="I10" s="8">
        <f t="shared" si="2"/>
        <v>1.7179381264905644</v>
      </c>
      <c r="J10" s="8">
        <f t="shared" si="3"/>
        <v>1.5537705608917778</v>
      </c>
      <c r="K10" s="8">
        <f t="shared" si="4"/>
        <v>2.345458799603493</v>
      </c>
      <c r="L10" s="8">
        <f t="shared" si="5"/>
        <v>2.4438344187967753</v>
      </c>
    </row>
    <row r="11" spans="1:12" x14ac:dyDescent="0.25">
      <c r="A11" t="s">
        <v>16</v>
      </c>
      <c r="B11">
        <v>763624</v>
      </c>
      <c r="C11">
        <v>1135475</v>
      </c>
      <c r="D11">
        <v>1246696</v>
      </c>
      <c r="E11">
        <v>1857531</v>
      </c>
      <c r="F11" s="7">
        <v>1743172</v>
      </c>
      <c r="G11" s="7">
        <f t="shared" si="0"/>
        <v>1649682.25</v>
      </c>
      <c r="H11" s="8">
        <f t="shared" si="1"/>
        <v>2.4325204550930826</v>
      </c>
      <c r="I11" s="8">
        <f t="shared" si="2"/>
        <v>1.6326045278828323</v>
      </c>
      <c r="J11" s="8">
        <f t="shared" si="3"/>
        <v>1.4869556221386442</v>
      </c>
      <c r="K11" s="8">
        <f t="shared" si="4"/>
        <v>2.2827621971022389</v>
      </c>
      <c r="L11" s="8">
        <f t="shared" si="5"/>
        <v>2.1603331613464216</v>
      </c>
    </row>
    <row r="12" spans="1:12" x14ac:dyDescent="0.25">
      <c r="A12" t="s">
        <v>17</v>
      </c>
      <c r="B12">
        <v>733842</v>
      </c>
      <c r="C12">
        <v>1104902</v>
      </c>
      <c r="D12">
        <v>1192101</v>
      </c>
      <c r="E12">
        <v>1409270</v>
      </c>
      <c r="F12" s="7">
        <v>1580399.3333333333</v>
      </c>
      <c r="G12" s="7">
        <f t="shared" si="0"/>
        <v>1786109.25</v>
      </c>
      <c r="H12" s="8">
        <f t="shared" si="1"/>
        <v>1.9203997590762043</v>
      </c>
      <c r="I12" s="8">
        <f t="shared" si="2"/>
        <v>1.6244654843958237</v>
      </c>
      <c r="J12" s="8">
        <f t="shared" si="3"/>
        <v>1.5056401786760638</v>
      </c>
      <c r="K12" s="8">
        <f t="shared" si="4"/>
        <v>2.1535961873718503</v>
      </c>
      <c r="L12" s="8">
        <f t="shared" si="5"/>
        <v>2.4339152705895821</v>
      </c>
    </row>
    <row r="13" spans="1:12" x14ac:dyDescent="0.25">
      <c r="A13" t="s">
        <v>18</v>
      </c>
      <c r="B13">
        <v>822272</v>
      </c>
      <c r="C13">
        <v>1258807</v>
      </c>
      <c r="D13">
        <v>1342013</v>
      </c>
      <c r="E13">
        <v>1962715</v>
      </c>
      <c r="F13" s="7">
        <v>1911722.3333333333</v>
      </c>
      <c r="G13" s="7">
        <f t="shared" si="0"/>
        <v>1872891.75</v>
      </c>
      <c r="H13" s="8">
        <f t="shared" si="1"/>
        <v>2.3869413040940226</v>
      </c>
      <c r="I13" s="8">
        <f t="shared" si="2"/>
        <v>1.6320791660180574</v>
      </c>
      <c r="J13" s="8">
        <f t="shared" si="3"/>
        <v>1.5308888056506849</v>
      </c>
      <c r="K13" s="8">
        <f t="shared" si="4"/>
        <v>2.3249269503684102</v>
      </c>
      <c r="L13" s="8">
        <f t="shared" si="5"/>
        <v>2.2777034241710772</v>
      </c>
    </row>
    <row r="14" spans="1:12" x14ac:dyDescent="0.25">
      <c r="A14" t="s">
        <v>19</v>
      </c>
      <c r="B14">
        <v>790447</v>
      </c>
      <c r="C14">
        <v>1184273</v>
      </c>
      <c r="D14">
        <v>1262244</v>
      </c>
      <c r="E14">
        <v>1369213</v>
      </c>
      <c r="F14" s="7">
        <v>1842950.6666666667</v>
      </c>
      <c r="G14" s="7">
        <f t="shared" si="0"/>
        <v>1831999.75</v>
      </c>
      <c r="H14" s="8">
        <f t="shared" si="1"/>
        <v>1.7322008939245768</v>
      </c>
      <c r="I14" s="8">
        <f t="shared" si="2"/>
        <v>1.5968736676842343</v>
      </c>
      <c r="J14" s="8">
        <f t="shared" si="3"/>
        <v>1.4982320130255413</v>
      </c>
      <c r="K14" s="8">
        <f t="shared" si="4"/>
        <v>2.3315297125128778</v>
      </c>
      <c r="L14" s="8">
        <f t="shared" si="5"/>
        <v>2.3176756316362765</v>
      </c>
    </row>
    <row r="15" spans="1:12" x14ac:dyDescent="0.25">
      <c r="A15" t="s">
        <v>20</v>
      </c>
      <c r="B15">
        <v>902222</v>
      </c>
      <c r="C15">
        <v>1474096</v>
      </c>
      <c r="D15">
        <v>1630382</v>
      </c>
      <c r="E15">
        <v>2403239</v>
      </c>
      <c r="F15" s="7">
        <v>1986262</v>
      </c>
      <c r="G15" s="7">
        <f t="shared" si="0"/>
        <v>2025829.25</v>
      </c>
      <c r="H15" s="8">
        <f t="shared" si="1"/>
        <v>2.6636892028791141</v>
      </c>
      <c r="I15" s="8">
        <f t="shared" si="2"/>
        <v>1.8070740904123375</v>
      </c>
      <c r="J15" s="8">
        <f t="shared" si="3"/>
        <v>1.6338506487316868</v>
      </c>
      <c r="K15" s="8">
        <f t="shared" si="4"/>
        <v>2.2015224634291783</v>
      </c>
      <c r="L15" s="8">
        <f t="shared" si="5"/>
        <v>2.2453778005856653</v>
      </c>
    </row>
    <row r="16" spans="1:12" x14ac:dyDescent="0.25">
      <c r="A16" t="s">
        <v>21</v>
      </c>
      <c r="B16">
        <v>791111</v>
      </c>
      <c r="C16">
        <v>1264630</v>
      </c>
      <c r="D16">
        <v>1411664</v>
      </c>
      <c r="E16">
        <v>1756400</v>
      </c>
      <c r="F16" s="7">
        <v>1900026</v>
      </c>
      <c r="G16" s="7">
        <f t="shared" si="0"/>
        <v>1992368.5</v>
      </c>
      <c r="H16" s="8">
        <f t="shared" si="1"/>
        <v>2.2201688511473106</v>
      </c>
      <c r="I16" s="8">
        <f t="shared" si="2"/>
        <v>1.7844069921919934</v>
      </c>
      <c r="J16" s="8">
        <f t="shared" si="3"/>
        <v>1.5985493818187333</v>
      </c>
      <c r="K16" s="8">
        <f t="shared" si="4"/>
        <v>2.4017185957469938</v>
      </c>
      <c r="L16" s="8">
        <f t="shared" si="5"/>
        <v>2.5184436823656857</v>
      </c>
    </row>
    <row r="17" spans="1:12" x14ac:dyDescent="0.25">
      <c r="A17" t="s">
        <v>22</v>
      </c>
      <c r="B17">
        <v>825430</v>
      </c>
      <c r="C17">
        <v>1260249</v>
      </c>
      <c r="D17">
        <v>1358105</v>
      </c>
      <c r="E17">
        <v>1799147</v>
      </c>
      <c r="F17" s="7">
        <v>2071024.6666666667</v>
      </c>
      <c r="G17" s="7">
        <f t="shared" si="0"/>
        <v>2004089</v>
      </c>
      <c r="H17" s="8">
        <f t="shared" si="1"/>
        <v>2.1796481833710915</v>
      </c>
      <c r="I17" s="8">
        <f t="shared" si="2"/>
        <v>1.6453303126855094</v>
      </c>
      <c r="J17" s="8">
        <f t="shared" si="3"/>
        <v>1.5267787698532886</v>
      </c>
      <c r="K17" s="8">
        <f t="shared" si="4"/>
        <v>2.5090251949488955</v>
      </c>
      <c r="L17" s="8">
        <f t="shared" si="5"/>
        <v>2.4279333196031159</v>
      </c>
    </row>
    <row r="18" spans="1:12" x14ac:dyDescent="0.25">
      <c r="A18" t="s">
        <v>23</v>
      </c>
      <c r="B18">
        <v>968048</v>
      </c>
      <c r="C18">
        <v>1526144</v>
      </c>
      <c r="D18">
        <v>1632802</v>
      </c>
      <c r="E18">
        <v>2144531</v>
      </c>
      <c r="F18" s="7">
        <v>2072403</v>
      </c>
      <c r="H18" s="8">
        <f t="shared" si="1"/>
        <v>2.2153147364593493</v>
      </c>
      <c r="I18" s="8">
        <f t="shared" si="2"/>
        <v>1.6866952878369668</v>
      </c>
      <c r="J18" s="8">
        <f t="shared" si="3"/>
        <v>1.5765168669322183</v>
      </c>
      <c r="K18" s="8">
        <f t="shared" si="4"/>
        <v>2.1408060344115167</v>
      </c>
      <c r="L18" s="8"/>
    </row>
    <row r="19" spans="1:12" x14ac:dyDescent="0.25">
      <c r="A19" s="10" t="s">
        <v>24</v>
      </c>
      <c r="B19">
        <v>907411</v>
      </c>
      <c r="C19">
        <v>1512147</v>
      </c>
      <c r="D19">
        <v>1692150</v>
      </c>
      <c r="E19">
        <v>2269396</v>
      </c>
      <c r="H19" s="8">
        <f t="shared" si="1"/>
        <v>2.5009571186595712</v>
      </c>
      <c r="I19" s="8">
        <f t="shared" si="2"/>
        <v>1.8648109842177361</v>
      </c>
      <c r="J19" s="8">
        <f t="shared" si="3"/>
        <v>1.666441116539253</v>
      </c>
      <c r="K19" s="8"/>
      <c r="L19" s="8"/>
    </row>
    <row r="20" spans="1:12" x14ac:dyDescent="0.25">
      <c r="A20" s="11" t="s">
        <v>25</v>
      </c>
      <c r="B20">
        <v>908044</v>
      </c>
      <c r="C20">
        <v>1391335</v>
      </c>
      <c r="D20">
        <v>1461018</v>
      </c>
      <c r="E20">
        <v>1803282</v>
      </c>
      <c r="H20" s="8">
        <f t="shared" si="1"/>
        <v>1.9858971591684984</v>
      </c>
      <c r="I20" s="8">
        <f t="shared" si="2"/>
        <v>1.6089726929532049</v>
      </c>
      <c r="J20" s="8">
        <f t="shared" si="3"/>
        <v>1.5322330195453084</v>
      </c>
      <c r="K20" s="8"/>
      <c r="L20" s="8"/>
    </row>
    <row r="21" spans="1:12" x14ac:dyDescent="0.25">
      <c r="I21" s="8"/>
      <c r="J21" s="8"/>
      <c r="K21" s="8"/>
      <c r="L21" s="8"/>
    </row>
    <row r="22" spans="1:12" x14ac:dyDescent="0.25">
      <c r="A22" t="s">
        <v>26</v>
      </c>
      <c r="B22">
        <f>SUM(B2:B21)</f>
        <v>13214235.868122779</v>
      </c>
      <c r="C22">
        <f t="shared" ref="C22:F22" si="6">SUM(C2:C21)</f>
        <v>20429780</v>
      </c>
      <c r="D22">
        <f t="shared" si="6"/>
        <v>22547142</v>
      </c>
      <c r="E22">
        <f t="shared" si="6"/>
        <v>30296825</v>
      </c>
      <c r="F22">
        <f t="shared" si="6"/>
        <v>27445800.666666672</v>
      </c>
      <c r="H22" s="8">
        <f t="shared" ref="H22:H23" si="7">E22/B22</f>
        <v>2.2927413512487864</v>
      </c>
      <c r="I22" s="8">
        <f t="shared" si="2"/>
        <v>1.7062766417232915</v>
      </c>
      <c r="J22" s="8">
        <f t="shared" si="3"/>
        <v>1.5460432373001274</v>
      </c>
      <c r="K22" s="8">
        <f t="shared" si="4"/>
        <v>2.076987344601231</v>
      </c>
      <c r="L22" s="8"/>
    </row>
    <row r="23" spans="1:12" x14ac:dyDescent="0.25">
      <c r="A23" t="s">
        <v>27</v>
      </c>
      <c r="B23">
        <f>AVERAGE(B2:B20)</f>
        <v>695486.09832225146</v>
      </c>
      <c r="C23">
        <f t="shared" ref="C23:E23" si="8">AVERAGE(C2:C20)</f>
        <v>1075251.5789473683</v>
      </c>
      <c r="D23">
        <f t="shared" si="8"/>
        <v>1186691.6842105263</v>
      </c>
      <c r="E23">
        <f t="shared" si="8"/>
        <v>1594569.7368421052</v>
      </c>
      <c r="F23" s="7">
        <f>AVERAGE(F2:F18)</f>
        <v>1614458.8627450983</v>
      </c>
      <c r="H23" s="8">
        <f t="shared" si="7"/>
        <v>2.2927413512487864</v>
      </c>
      <c r="I23" s="8">
        <f t="shared" si="2"/>
        <v>1.7062766417232917</v>
      </c>
      <c r="J23" s="8">
        <f t="shared" si="3"/>
        <v>1.5460432373001274</v>
      </c>
      <c r="K23" s="8">
        <f t="shared" si="4"/>
        <v>2.3213387969072583</v>
      </c>
      <c r="L23" s="8"/>
    </row>
    <row r="24" spans="1:12" x14ac:dyDescent="0.25">
      <c r="I24" s="8"/>
      <c r="J24" s="8"/>
      <c r="K24" s="8"/>
      <c r="L24" s="8"/>
    </row>
    <row r="25" spans="1:12" x14ac:dyDescent="0.25">
      <c r="A25" t="s">
        <v>31</v>
      </c>
      <c r="B25">
        <f>SUM(B2:B17)</f>
        <v>10430732.868122779</v>
      </c>
      <c r="C25">
        <f t="shared" ref="C25:G25" si="9">SUM(C2:C17)</f>
        <v>16000154</v>
      </c>
      <c r="D25">
        <f t="shared" si="9"/>
        <v>17761172</v>
      </c>
      <c r="E25">
        <f t="shared" si="9"/>
        <v>24079616</v>
      </c>
      <c r="F25">
        <f t="shared" si="9"/>
        <v>25373397.666666672</v>
      </c>
      <c r="G25">
        <f t="shared" si="9"/>
        <v>25917277.25</v>
      </c>
      <c r="H25" s="8">
        <f t="shared" ref="H25" si="10">E25/B25</f>
        <v>2.3085258058510334</v>
      </c>
      <c r="I25" s="8">
        <f t="shared" ref="I25" si="11">D25/B25</f>
        <v>1.7027731631666723</v>
      </c>
      <c r="J25" s="8">
        <f t="shared" ref="J25" si="12">C25/B25</f>
        <v>1.5339434153181943</v>
      </c>
      <c r="K25" s="8">
        <f t="shared" ref="K25" si="13">F25/B25</f>
        <v>2.4325613537865558</v>
      </c>
      <c r="L25" s="8">
        <f t="shared" ref="L25" si="14">G25/B25</f>
        <v>2.4847033835182799</v>
      </c>
    </row>
    <row r="26" spans="1:12" x14ac:dyDescent="0.25">
      <c r="A2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6ECD-8D02-4387-B660-289FCF6324C2}">
  <dimension ref="A1:L26"/>
  <sheetViews>
    <sheetView workbookViewId="0">
      <selection activeCell="F1" sqref="F1"/>
    </sheetView>
  </sheetViews>
  <sheetFormatPr defaultRowHeight="15" x14ac:dyDescent="0.25"/>
  <cols>
    <col min="8" max="8" width="13.7109375" customWidth="1"/>
    <col min="9" max="9" width="10.1406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7</v>
      </c>
      <c r="B2" s="7">
        <v>303849.00706091931</v>
      </c>
      <c r="C2">
        <v>468901</v>
      </c>
      <c r="D2">
        <v>498524</v>
      </c>
      <c r="E2">
        <v>583192</v>
      </c>
      <c r="F2" s="7">
        <v>666669</v>
      </c>
      <c r="G2" s="7">
        <f>AVERAGE(E2:E5)</f>
        <v>697792.75</v>
      </c>
      <c r="H2" s="8">
        <f>E2/B2</f>
        <v>1.9193480526433797</v>
      </c>
      <c r="I2" s="8">
        <f>D2/B2</f>
        <v>1.640696492057484</v>
      </c>
      <c r="J2" s="8">
        <f>C2/B2</f>
        <v>1.5432039898224486</v>
      </c>
      <c r="K2" s="8">
        <f>F2/B2</f>
        <v>2.1940799032011915</v>
      </c>
      <c r="L2" s="8">
        <f>G2/B2</f>
        <v>2.2965115362713631</v>
      </c>
    </row>
    <row r="3" spans="1:12" x14ac:dyDescent="0.25">
      <c r="A3" s="9" t="s">
        <v>8</v>
      </c>
      <c r="B3">
        <v>325527</v>
      </c>
      <c r="C3" s="9">
        <v>535371</v>
      </c>
      <c r="D3" s="9">
        <v>568012</v>
      </c>
      <c r="E3" s="9">
        <v>715888</v>
      </c>
      <c r="F3" s="7">
        <v>735993</v>
      </c>
      <c r="G3" s="7">
        <f t="shared" ref="G3:G17" si="0">AVERAGE(E3:E6)</f>
        <v>733141.75</v>
      </c>
      <c r="H3" s="8">
        <f t="shared" ref="H3:H20" si="1">E3/B3</f>
        <v>2.1991662749940866</v>
      </c>
      <c r="I3" s="8">
        <f t="shared" ref="I3:I23" si="2">D3/B3</f>
        <v>1.7448998086180256</v>
      </c>
      <c r="J3" s="8">
        <f t="shared" ref="J3:J23" si="3">C3/B3</f>
        <v>1.6446285561566321</v>
      </c>
      <c r="K3" s="8">
        <f t="shared" ref="K3:K23" si="4">F3/B3</f>
        <v>2.2609276649863146</v>
      </c>
      <c r="L3" s="8">
        <f t="shared" ref="L3:L17" si="5">G3/B3</f>
        <v>2.2521687909144248</v>
      </c>
    </row>
    <row r="4" spans="1:12" x14ac:dyDescent="0.25">
      <c r="A4" t="s">
        <v>9</v>
      </c>
      <c r="B4">
        <v>283709</v>
      </c>
      <c r="C4">
        <v>487866</v>
      </c>
      <c r="D4">
        <v>580988</v>
      </c>
      <c r="E4">
        <v>700927</v>
      </c>
      <c r="F4" s="7">
        <v>738893</v>
      </c>
      <c r="G4" s="7">
        <f t="shared" si="0"/>
        <v>794335.5</v>
      </c>
      <c r="H4" s="8">
        <f t="shared" si="1"/>
        <v>2.4705842958806383</v>
      </c>
      <c r="I4" s="8">
        <f t="shared" si="2"/>
        <v>2.04783069976631</v>
      </c>
      <c r="J4" s="8">
        <f t="shared" si="3"/>
        <v>1.719600012689058</v>
      </c>
      <c r="K4" s="8">
        <f t="shared" si="4"/>
        <v>2.6044045130750169</v>
      </c>
      <c r="L4" s="8">
        <f t="shared" si="5"/>
        <v>2.7998248205026983</v>
      </c>
    </row>
    <row r="5" spans="1:12" x14ac:dyDescent="0.25">
      <c r="A5" t="s">
        <v>10</v>
      </c>
      <c r="B5">
        <v>301797</v>
      </c>
      <c r="C5">
        <v>484790</v>
      </c>
      <c r="D5">
        <v>555365</v>
      </c>
      <c r="E5">
        <v>791164</v>
      </c>
      <c r="F5" s="7">
        <v>825471.66666666663</v>
      </c>
      <c r="G5" s="7">
        <f t="shared" si="0"/>
        <v>838160.75</v>
      </c>
      <c r="H5" s="8">
        <f t="shared" si="1"/>
        <v>2.6215104855250382</v>
      </c>
      <c r="I5" s="8">
        <f t="shared" si="2"/>
        <v>1.8401939051746703</v>
      </c>
      <c r="J5" s="8">
        <f t="shared" si="3"/>
        <v>1.6063446621404454</v>
      </c>
      <c r="K5" s="8">
        <f t="shared" si="4"/>
        <v>2.7351884434459808</v>
      </c>
      <c r="L5" s="8">
        <f t="shared" si="5"/>
        <v>2.7772335377753921</v>
      </c>
    </row>
    <row r="6" spans="1:12" x14ac:dyDescent="0.25">
      <c r="A6" t="s">
        <v>11</v>
      </c>
      <c r="B6">
        <v>328026</v>
      </c>
      <c r="C6">
        <v>509988</v>
      </c>
      <c r="D6">
        <v>584211</v>
      </c>
      <c r="E6">
        <v>724588</v>
      </c>
      <c r="F6" s="7">
        <v>853826.33333333337</v>
      </c>
      <c r="G6" s="7">
        <f t="shared" si="0"/>
        <v>1247100.75</v>
      </c>
      <c r="H6" s="8">
        <f t="shared" si="1"/>
        <v>2.2089346576186033</v>
      </c>
      <c r="I6" s="8">
        <f t="shared" si="2"/>
        <v>1.7809899215306104</v>
      </c>
      <c r="J6" s="8">
        <f t="shared" si="3"/>
        <v>1.55471822355545</v>
      </c>
      <c r="K6" s="8">
        <f t="shared" si="4"/>
        <v>2.6029227357993983</v>
      </c>
      <c r="L6" s="8">
        <f t="shared" si="5"/>
        <v>3.8018350679519308</v>
      </c>
    </row>
    <row r="7" spans="1:12" x14ac:dyDescent="0.25">
      <c r="A7" t="s">
        <v>12</v>
      </c>
      <c r="B7">
        <v>295833</v>
      </c>
      <c r="C7">
        <v>501321</v>
      </c>
      <c r="D7">
        <v>687949</v>
      </c>
      <c r="E7">
        <v>960663</v>
      </c>
      <c r="F7" s="7">
        <v>1421271.6666666667</v>
      </c>
      <c r="G7" s="7">
        <f t="shared" si="0"/>
        <v>1445535.5</v>
      </c>
      <c r="H7" s="8">
        <f t="shared" si="1"/>
        <v>3.2473152082424881</v>
      </c>
      <c r="I7" s="8">
        <f t="shared" si="2"/>
        <v>2.3254640286918633</v>
      </c>
      <c r="J7" s="8">
        <f t="shared" si="3"/>
        <v>1.6946081066006835</v>
      </c>
      <c r="K7" s="8">
        <f t="shared" si="4"/>
        <v>4.8043040048495831</v>
      </c>
      <c r="L7" s="8">
        <f t="shared" si="5"/>
        <v>4.886322688814297</v>
      </c>
    </row>
    <row r="8" spans="1:12" x14ac:dyDescent="0.25">
      <c r="A8" t="s">
        <v>13</v>
      </c>
      <c r="B8">
        <v>318949</v>
      </c>
      <c r="C8">
        <v>501793</v>
      </c>
      <c r="D8">
        <v>586464</v>
      </c>
      <c r="E8">
        <v>876228</v>
      </c>
      <c r="F8" s="7">
        <v>1607159.6666666667</v>
      </c>
      <c r="G8" s="7">
        <f t="shared" si="0"/>
        <v>1593509.25</v>
      </c>
      <c r="H8" s="8">
        <f t="shared" si="1"/>
        <v>2.7472354514358095</v>
      </c>
      <c r="I8" s="8">
        <f t="shared" si="2"/>
        <v>1.8387391087603346</v>
      </c>
      <c r="J8" s="8">
        <f t="shared" si="3"/>
        <v>1.5732703347557133</v>
      </c>
      <c r="K8" s="8">
        <f t="shared" si="4"/>
        <v>5.0389236732727385</v>
      </c>
      <c r="L8" s="8">
        <f t="shared" si="5"/>
        <v>4.9961255561233928</v>
      </c>
    </row>
    <row r="9" spans="1:12" x14ac:dyDescent="0.25">
      <c r="A9" t="s">
        <v>14</v>
      </c>
      <c r="B9">
        <v>390829</v>
      </c>
      <c r="C9">
        <v>738207</v>
      </c>
      <c r="D9">
        <v>918402</v>
      </c>
      <c r="E9">
        <v>2426924</v>
      </c>
      <c r="F9" s="7">
        <v>1832603</v>
      </c>
      <c r="G9" s="7">
        <f t="shared" si="0"/>
        <v>1564647.25</v>
      </c>
      <c r="H9" s="8">
        <f t="shared" si="1"/>
        <v>6.2096824954135954</v>
      </c>
      <c r="I9" s="8">
        <f t="shared" si="2"/>
        <v>2.3498819176673176</v>
      </c>
      <c r="J9" s="8">
        <f t="shared" si="3"/>
        <v>1.8888235008149343</v>
      </c>
      <c r="K9" s="8">
        <f t="shared" si="4"/>
        <v>4.6890148888644392</v>
      </c>
      <c r="L9" s="8">
        <f t="shared" si="5"/>
        <v>4.0034062211350747</v>
      </c>
    </row>
    <row r="10" spans="1:12" x14ac:dyDescent="0.25">
      <c r="A10" t="s">
        <v>15</v>
      </c>
      <c r="B10">
        <v>466993</v>
      </c>
      <c r="C10">
        <v>787813</v>
      </c>
      <c r="D10">
        <v>897911</v>
      </c>
      <c r="E10">
        <v>1518327</v>
      </c>
      <c r="F10" s="7">
        <v>1277221.6666666667</v>
      </c>
      <c r="G10" s="7">
        <f t="shared" si="0"/>
        <v>1306343.75</v>
      </c>
      <c r="H10" s="8">
        <f t="shared" si="1"/>
        <v>3.2512842804924271</v>
      </c>
      <c r="I10" s="8">
        <f t="shared" si="2"/>
        <v>1.9227504480795214</v>
      </c>
      <c r="J10" s="8">
        <f t="shared" si="3"/>
        <v>1.6869910255614109</v>
      </c>
      <c r="K10" s="8">
        <f t="shared" si="4"/>
        <v>2.7349910312717038</v>
      </c>
      <c r="L10" s="8">
        <f t="shared" si="5"/>
        <v>2.7973518875015255</v>
      </c>
    </row>
    <row r="11" spans="1:12" x14ac:dyDescent="0.25">
      <c r="A11" t="s">
        <v>16</v>
      </c>
      <c r="B11">
        <v>431175</v>
      </c>
      <c r="C11">
        <v>764806</v>
      </c>
      <c r="D11">
        <v>879798</v>
      </c>
      <c r="E11">
        <v>1552558</v>
      </c>
      <c r="F11" s="7">
        <v>1235682.6666666667</v>
      </c>
      <c r="G11" s="7">
        <f t="shared" si="0"/>
        <v>1304679.5</v>
      </c>
      <c r="H11" s="8">
        <f t="shared" si="1"/>
        <v>3.6007607120078853</v>
      </c>
      <c r="I11" s="8">
        <f t="shared" si="2"/>
        <v>2.0404661680292224</v>
      </c>
      <c r="J11" s="8">
        <f t="shared" si="3"/>
        <v>1.773771670435438</v>
      </c>
      <c r="K11" s="8">
        <f t="shared" si="4"/>
        <v>2.8658495197232372</v>
      </c>
      <c r="L11" s="8">
        <f t="shared" si="5"/>
        <v>3.0258700063779207</v>
      </c>
    </row>
    <row r="12" spans="1:12" x14ac:dyDescent="0.25">
      <c r="A12" t="s">
        <v>17</v>
      </c>
      <c r="B12">
        <v>334265</v>
      </c>
      <c r="C12">
        <v>590773</v>
      </c>
      <c r="D12">
        <v>648501</v>
      </c>
      <c r="E12">
        <v>760780</v>
      </c>
      <c r="F12" s="7">
        <v>1222053.3333333333</v>
      </c>
      <c r="G12" s="7">
        <f t="shared" si="0"/>
        <v>1289369</v>
      </c>
      <c r="H12" s="8">
        <f t="shared" si="1"/>
        <v>2.275978639702033</v>
      </c>
      <c r="I12" s="8">
        <f t="shared" si="2"/>
        <v>1.9400804750721732</v>
      </c>
      <c r="J12" s="8">
        <f t="shared" si="3"/>
        <v>1.7673791752053012</v>
      </c>
      <c r="K12" s="8">
        <f t="shared" si="4"/>
        <v>3.6559416431075142</v>
      </c>
      <c r="L12" s="8">
        <f t="shared" si="5"/>
        <v>3.8573257744603833</v>
      </c>
    </row>
    <row r="13" spans="1:12" x14ac:dyDescent="0.25">
      <c r="A13" t="s">
        <v>18</v>
      </c>
      <c r="B13">
        <v>426696</v>
      </c>
      <c r="C13">
        <v>685740</v>
      </c>
      <c r="D13">
        <v>733882</v>
      </c>
      <c r="E13">
        <v>1393710</v>
      </c>
      <c r="F13" s="7">
        <v>1465565.3333333333</v>
      </c>
      <c r="G13" s="7">
        <f t="shared" si="0"/>
        <v>1677608.25</v>
      </c>
      <c r="H13" s="8">
        <f t="shared" si="1"/>
        <v>3.2662832555261825</v>
      </c>
      <c r="I13" s="8">
        <f t="shared" si="2"/>
        <v>1.7199176931585953</v>
      </c>
      <c r="J13" s="8">
        <f t="shared" si="3"/>
        <v>1.60709263738118</v>
      </c>
      <c r="K13" s="8">
        <f t="shared" si="4"/>
        <v>3.4346826155701793</v>
      </c>
      <c r="L13" s="8">
        <f t="shared" si="5"/>
        <v>3.9316240367849709</v>
      </c>
    </row>
    <row r="14" spans="1:12" x14ac:dyDescent="0.25">
      <c r="A14" t="s">
        <v>19</v>
      </c>
      <c r="B14">
        <v>481381</v>
      </c>
      <c r="C14">
        <v>848609</v>
      </c>
      <c r="D14">
        <v>971176</v>
      </c>
      <c r="E14">
        <v>1511670</v>
      </c>
      <c r="F14" s="7">
        <v>1772241</v>
      </c>
      <c r="G14" s="7">
        <f t="shared" si="0"/>
        <v>1702357.75</v>
      </c>
      <c r="H14" s="8">
        <f t="shared" si="1"/>
        <v>3.1402776594838602</v>
      </c>
      <c r="I14" s="8">
        <f t="shared" si="2"/>
        <v>2.0174788784767159</v>
      </c>
      <c r="J14" s="8">
        <f t="shared" si="3"/>
        <v>1.7628635114389641</v>
      </c>
      <c r="K14" s="8">
        <f t="shared" si="4"/>
        <v>3.6815765474748692</v>
      </c>
      <c r="L14" s="8">
        <f t="shared" si="5"/>
        <v>3.536404116489849</v>
      </c>
    </row>
    <row r="15" spans="1:12" x14ac:dyDescent="0.25">
      <c r="A15" t="s">
        <v>20</v>
      </c>
      <c r="B15">
        <v>513865</v>
      </c>
      <c r="C15">
        <v>874958</v>
      </c>
      <c r="D15">
        <v>985544</v>
      </c>
      <c r="E15">
        <v>1491316</v>
      </c>
      <c r="F15" s="7">
        <v>1765920.3333333333</v>
      </c>
      <c r="G15" s="7">
        <f t="shared" si="0"/>
        <v>1710936.5</v>
      </c>
      <c r="H15" s="8">
        <f t="shared" si="1"/>
        <v>2.9021552353244529</v>
      </c>
      <c r="I15" s="8">
        <f t="shared" si="2"/>
        <v>1.9179045079933446</v>
      </c>
      <c r="J15" s="8">
        <f t="shared" si="3"/>
        <v>1.7027001255193486</v>
      </c>
      <c r="K15" s="8">
        <f t="shared" si="4"/>
        <v>3.4365452664286016</v>
      </c>
      <c r="L15" s="8">
        <f t="shared" si="5"/>
        <v>3.3295447247818006</v>
      </c>
    </row>
    <row r="16" spans="1:12" x14ac:dyDescent="0.25">
      <c r="A16" t="s">
        <v>21</v>
      </c>
      <c r="B16">
        <v>493855</v>
      </c>
      <c r="C16">
        <v>867254</v>
      </c>
      <c r="D16">
        <v>1003754</v>
      </c>
      <c r="E16">
        <v>2313737</v>
      </c>
      <c r="F16" s="7">
        <v>1784143.3333333333</v>
      </c>
      <c r="G16" s="7">
        <f t="shared" si="0"/>
        <v>1717925.75</v>
      </c>
      <c r="H16" s="8">
        <f t="shared" si="1"/>
        <v>4.6850533051199239</v>
      </c>
      <c r="I16" s="8">
        <f t="shared" si="2"/>
        <v>2.0324872685302364</v>
      </c>
      <c r="J16" s="8">
        <f t="shared" si="3"/>
        <v>1.7560903504064957</v>
      </c>
      <c r="K16" s="8">
        <f t="shared" si="4"/>
        <v>3.6126865847937819</v>
      </c>
      <c r="L16" s="8">
        <f t="shared" si="5"/>
        <v>3.4786035374755748</v>
      </c>
    </row>
    <row r="17" spans="1:12" x14ac:dyDescent="0.25">
      <c r="A17" t="s">
        <v>22</v>
      </c>
      <c r="B17">
        <v>470350</v>
      </c>
      <c r="C17">
        <v>865965</v>
      </c>
      <c r="D17">
        <v>978205</v>
      </c>
      <c r="E17">
        <v>1492708</v>
      </c>
      <c r="F17" s="7">
        <v>1519322</v>
      </c>
      <c r="G17" s="7">
        <f t="shared" si="0"/>
        <v>1706622.75</v>
      </c>
      <c r="H17" s="8">
        <f t="shared" si="1"/>
        <v>3.1736111406399488</v>
      </c>
      <c r="I17" s="8">
        <f t="shared" si="2"/>
        <v>2.0797384926118849</v>
      </c>
      <c r="J17" s="8">
        <f t="shared" si="3"/>
        <v>1.841107685765919</v>
      </c>
      <c r="K17" s="8">
        <f t="shared" si="4"/>
        <v>3.2301945359838418</v>
      </c>
      <c r="L17" s="8">
        <f t="shared" si="5"/>
        <v>3.6284102264271287</v>
      </c>
    </row>
    <row r="18" spans="1:12" x14ac:dyDescent="0.25">
      <c r="A18" t="s">
        <v>23</v>
      </c>
      <c r="B18">
        <v>505204</v>
      </c>
      <c r="C18">
        <v>837830</v>
      </c>
      <c r="D18">
        <v>921104</v>
      </c>
      <c r="E18">
        <v>1545985</v>
      </c>
      <c r="F18" s="7">
        <v>1777927.6666666667</v>
      </c>
      <c r="H18" s="8">
        <f t="shared" si="1"/>
        <v>3.0601202682480739</v>
      </c>
      <c r="I18" s="8">
        <f t="shared" si="2"/>
        <v>1.8232318033903137</v>
      </c>
      <c r="J18" s="8">
        <f t="shared" si="3"/>
        <v>1.6583993792606551</v>
      </c>
      <c r="K18" s="8">
        <f t="shared" si="4"/>
        <v>3.5192272164643721</v>
      </c>
      <c r="L18" s="8"/>
    </row>
    <row r="19" spans="1:12" x14ac:dyDescent="0.25">
      <c r="A19" s="10" t="s">
        <v>24</v>
      </c>
      <c r="B19">
        <v>537035</v>
      </c>
      <c r="C19">
        <v>966367</v>
      </c>
      <c r="D19">
        <v>1088139</v>
      </c>
      <c r="E19">
        <v>1519273</v>
      </c>
      <c r="H19" s="8">
        <f t="shared" si="1"/>
        <v>2.8290018341448882</v>
      </c>
      <c r="I19" s="8">
        <f t="shared" si="2"/>
        <v>2.0261975476458702</v>
      </c>
      <c r="J19" s="8">
        <f t="shared" si="3"/>
        <v>1.799448825495545</v>
      </c>
      <c r="K19" s="8"/>
      <c r="L19" s="8"/>
    </row>
    <row r="20" spans="1:12" x14ac:dyDescent="0.25">
      <c r="A20" s="11" t="s">
        <v>25</v>
      </c>
      <c r="B20">
        <v>473693</v>
      </c>
      <c r="C20">
        <v>969052</v>
      </c>
      <c r="D20">
        <v>1141039</v>
      </c>
      <c r="E20">
        <v>2268525</v>
      </c>
      <c r="H20" s="8">
        <f t="shared" si="1"/>
        <v>4.789019470416493</v>
      </c>
      <c r="I20" s="8">
        <f t="shared" si="2"/>
        <v>2.4088154142028699</v>
      </c>
      <c r="J20" s="8">
        <f t="shared" si="3"/>
        <v>2.0457384846303408</v>
      </c>
      <c r="K20" s="8"/>
      <c r="L20" s="8"/>
    </row>
    <row r="21" spans="1:12" x14ac:dyDescent="0.25">
      <c r="I21" s="8"/>
      <c r="J21" s="8"/>
      <c r="K21" s="8"/>
      <c r="L21" s="8"/>
    </row>
    <row r="22" spans="1:12" x14ac:dyDescent="0.25">
      <c r="A22" t="s">
        <v>26</v>
      </c>
      <c r="B22">
        <f>SUM(B2:B21)</f>
        <v>7683031.007060919</v>
      </c>
      <c r="C22">
        <f t="shared" ref="C22:F22" si="6">SUM(C2:C21)</f>
        <v>13287404</v>
      </c>
      <c r="D22">
        <f t="shared" si="6"/>
        <v>15228968</v>
      </c>
      <c r="E22">
        <f t="shared" si="6"/>
        <v>25148163</v>
      </c>
      <c r="F22">
        <f t="shared" si="6"/>
        <v>22501964.666666668</v>
      </c>
      <c r="H22" s="8">
        <f t="shared" ref="H22:H23" si="7">E22/B22</f>
        <v>3.2732085783446845</v>
      </c>
      <c r="I22" s="8">
        <f t="shared" si="2"/>
        <v>1.9821562591644046</v>
      </c>
      <c r="J22" s="8">
        <f t="shared" si="3"/>
        <v>1.729448181035389</v>
      </c>
      <c r="K22" s="8">
        <f t="shared" si="4"/>
        <v>2.928787433759767</v>
      </c>
      <c r="L22" s="8"/>
    </row>
    <row r="23" spans="1:12" x14ac:dyDescent="0.25">
      <c r="A23" t="s">
        <v>27</v>
      </c>
      <c r="B23">
        <f>AVERAGE(B2:B20)</f>
        <v>404370.05300320627</v>
      </c>
      <c r="C23">
        <f t="shared" ref="C23:E23" si="8">AVERAGE(C2:C20)</f>
        <v>699337.05263157899</v>
      </c>
      <c r="D23">
        <f t="shared" si="8"/>
        <v>801524.63157894742</v>
      </c>
      <c r="E23">
        <f t="shared" si="8"/>
        <v>1323587.5263157894</v>
      </c>
      <c r="F23" s="7">
        <f>AVERAGE(F2:F18)</f>
        <v>1323644.9803921569</v>
      </c>
      <c r="H23" s="8">
        <f t="shared" si="7"/>
        <v>3.2732085783446845</v>
      </c>
      <c r="I23" s="8">
        <f t="shared" si="2"/>
        <v>1.9821562591644049</v>
      </c>
      <c r="J23" s="8">
        <f t="shared" si="3"/>
        <v>1.7294481810353892</v>
      </c>
      <c r="K23" s="8">
        <f t="shared" si="4"/>
        <v>3.273350661260916</v>
      </c>
      <c r="L23" s="8"/>
    </row>
    <row r="24" spans="1:12" x14ac:dyDescent="0.25">
      <c r="I24" s="8"/>
      <c r="J24" s="8"/>
      <c r="K24" s="8"/>
      <c r="L24" s="8"/>
    </row>
    <row r="25" spans="1:12" x14ac:dyDescent="0.25">
      <c r="A25" t="s">
        <v>31</v>
      </c>
      <c r="B25">
        <f>SUM(B2:B17)</f>
        <v>6167099.007060919</v>
      </c>
      <c r="C25">
        <f t="shared" ref="C25:G25" si="9">SUM(C2:C17)</f>
        <v>10514155</v>
      </c>
      <c r="D25">
        <f t="shared" si="9"/>
        <v>12078686</v>
      </c>
      <c r="E25">
        <f t="shared" si="9"/>
        <v>19814380</v>
      </c>
      <c r="F25">
        <f t="shared" si="9"/>
        <v>20724037</v>
      </c>
      <c r="G25">
        <f t="shared" si="9"/>
        <v>21330066.75</v>
      </c>
      <c r="H25" s="8">
        <f t="shared" ref="H25" si="10">E25/B25</f>
        <v>3.2129174474601188</v>
      </c>
      <c r="I25" s="8">
        <f t="shared" ref="I25" si="11">D25/B25</f>
        <v>1.9585685240614277</v>
      </c>
      <c r="J25" s="8">
        <f t="shared" ref="J25" si="12">C25/B25</f>
        <v>1.7048785803441764</v>
      </c>
      <c r="K25" s="8">
        <f t="shared" ref="K25" si="13">F25/B25</f>
        <v>3.3604190521787234</v>
      </c>
      <c r="L25" s="8">
        <f t="shared" ref="L25" si="14">G25/B25</f>
        <v>3.458687257262854</v>
      </c>
    </row>
    <row r="26" spans="1:12" x14ac:dyDescent="0.25">
      <c r="A2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6811-F37E-4399-8788-5D6F50CBE401}">
  <dimension ref="A1:L26"/>
  <sheetViews>
    <sheetView workbookViewId="0">
      <selection activeCell="B2" sqref="B2:B20"/>
    </sheetView>
  </sheetViews>
  <sheetFormatPr defaultRowHeight="15" x14ac:dyDescent="0.25"/>
  <cols>
    <col min="7" max="7" width="9.5703125" bestFit="1" customWidth="1"/>
    <col min="8" max="9" width="11.8554687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7</v>
      </c>
      <c r="B2" s="7">
        <v>112069.48260684051</v>
      </c>
      <c r="C2">
        <v>188477</v>
      </c>
      <c r="D2">
        <v>199961</v>
      </c>
      <c r="E2">
        <v>212131</v>
      </c>
      <c r="F2" s="7">
        <v>246531</v>
      </c>
      <c r="G2" s="7">
        <f>AVERAGE(E2:E5)</f>
        <v>300522.5</v>
      </c>
      <c r="H2" s="8">
        <f>E2/B2</f>
        <v>1.8928524970905141</v>
      </c>
      <c r="I2" s="8">
        <f>D2/B2</f>
        <v>1.7842591519896494</v>
      </c>
      <c r="J2" s="8">
        <f>C2/B2</f>
        <v>1.6817870094146015</v>
      </c>
      <c r="K2" s="8">
        <f>F2/B2</f>
        <v>2.1998049269565576</v>
      </c>
      <c r="L2" s="8">
        <f>G2/B2</f>
        <v>2.6815730117563392</v>
      </c>
    </row>
    <row r="3" spans="1:12" x14ac:dyDescent="0.25">
      <c r="A3" s="9" t="s">
        <v>8</v>
      </c>
      <c r="B3">
        <v>129647</v>
      </c>
      <c r="C3" s="9">
        <v>256188</v>
      </c>
      <c r="D3" s="9">
        <v>269496</v>
      </c>
      <c r="E3" s="9">
        <v>272168</v>
      </c>
      <c r="F3" s="7">
        <v>329986.33333333331</v>
      </c>
      <c r="G3" s="7">
        <f t="shared" ref="G3:G17" si="0">AVERAGE(E3:E6)</f>
        <v>363241.75</v>
      </c>
      <c r="H3" s="8">
        <f t="shared" ref="H3:H20" si="1">E3/B3</f>
        <v>2.0993004080310382</v>
      </c>
      <c r="I3" s="8">
        <f t="shared" ref="I3:I20" si="2">D3/B3</f>
        <v>2.0786905983169683</v>
      </c>
      <c r="J3" s="8">
        <f t="shared" ref="J3:J25" si="3">C3/B3</f>
        <v>1.9760426388578216</v>
      </c>
      <c r="K3" s="8">
        <f t="shared" ref="K3:K25" si="4">F3/B3</f>
        <v>2.5452677912588282</v>
      </c>
      <c r="L3" s="8">
        <f t="shared" ref="L3:L25" si="5">G3/B3</f>
        <v>2.8017752049796756</v>
      </c>
    </row>
    <row r="4" spans="1:12" x14ac:dyDescent="0.25">
      <c r="A4" t="s">
        <v>9</v>
      </c>
      <c r="B4">
        <v>121661</v>
      </c>
      <c r="C4">
        <v>221900</v>
      </c>
      <c r="D4">
        <v>248940</v>
      </c>
      <c r="E4">
        <v>255294</v>
      </c>
      <c r="F4" s="7">
        <v>393599.66666666669</v>
      </c>
      <c r="G4" s="7">
        <f t="shared" si="0"/>
        <v>405121.5</v>
      </c>
      <c r="H4" s="8">
        <f t="shared" si="1"/>
        <v>2.0984045832271638</v>
      </c>
      <c r="I4" s="8">
        <f t="shared" si="2"/>
        <v>2.0461774931983134</v>
      </c>
      <c r="J4" s="8">
        <f t="shared" si="3"/>
        <v>1.8239205661633555</v>
      </c>
      <c r="K4" s="8">
        <f t="shared" si="4"/>
        <v>3.2352164347380565</v>
      </c>
      <c r="L4" s="8">
        <f t="shared" si="5"/>
        <v>3.3299208456284264</v>
      </c>
    </row>
    <row r="5" spans="1:12" x14ac:dyDescent="0.25">
      <c r="A5" t="s">
        <v>10</v>
      </c>
      <c r="B5">
        <v>134326</v>
      </c>
      <c r="C5">
        <v>246061</v>
      </c>
      <c r="D5">
        <v>301936</v>
      </c>
      <c r="E5">
        <v>462497</v>
      </c>
      <c r="F5" s="7">
        <v>455064</v>
      </c>
      <c r="G5" s="7">
        <f t="shared" si="0"/>
        <v>473400.75</v>
      </c>
      <c r="H5" s="8">
        <f t="shared" si="1"/>
        <v>3.4430936676443875</v>
      </c>
      <c r="I5" s="8">
        <f t="shared" si="2"/>
        <v>2.2477852388964163</v>
      </c>
      <c r="J5" s="8">
        <f t="shared" si="3"/>
        <v>1.8318196030552536</v>
      </c>
      <c r="K5" s="8">
        <f t="shared" si="4"/>
        <v>3.3877581406429136</v>
      </c>
      <c r="L5" s="8">
        <f t="shared" si="5"/>
        <v>3.5242674538064112</v>
      </c>
    </row>
    <row r="6" spans="1:12" x14ac:dyDescent="0.25">
      <c r="A6" t="s">
        <v>11</v>
      </c>
      <c r="B6">
        <v>151379</v>
      </c>
      <c r="C6">
        <v>254893</v>
      </c>
      <c r="D6">
        <v>301738</v>
      </c>
      <c r="E6">
        <v>463008</v>
      </c>
      <c r="F6" s="7">
        <v>477035.33333333331</v>
      </c>
      <c r="G6" s="7">
        <f t="shared" si="0"/>
        <v>691015.5</v>
      </c>
      <c r="H6" s="8">
        <f t="shared" si="1"/>
        <v>3.0586012590914193</v>
      </c>
      <c r="I6" s="8">
        <f t="shared" si="2"/>
        <v>1.9932619451839424</v>
      </c>
      <c r="J6" s="8">
        <f t="shared" si="3"/>
        <v>1.6838068688523506</v>
      </c>
      <c r="K6" s="8">
        <f t="shared" si="4"/>
        <v>3.1512649266630994</v>
      </c>
      <c r="L6" s="8">
        <f t="shared" si="5"/>
        <v>4.5648042330838488</v>
      </c>
    </row>
    <row r="7" spans="1:12" x14ac:dyDescent="0.25">
      <c r="A7" t="s">
        <v>12</v>
      </c>
      <c r="B7">
        <v>149138</v>
      </c>
      <c r="C7">
        <v>255917</v>
      </c>
      <c r="D7">
        <v>359756</v>
      </c>
      <c r="E7">
        <v>439687</v>
      </c>
      <c r="F7" s="7">
        <v>767018</v>
      </c>
      <c r="G7" s="7">
        <f t="shared" si="0"/>
        <v>723698</v>
      </c>
      <c r="H7" s="8">
        <f t="shared" si="1"/>
        <v>2.9481889256929823</v>
      </c>
      <c r="I7" s="8">
        <f t="shared" si="2"/>
        <v>2.4122356475210878</v>
      </c>
      <c r="J7" s="8">
        <f t="shared" si="3"/>
        <v>1.7159744666014027</v>
      </c>
      <c r="K7" s="8">
        <f t="shared" si="4"/>
        <v>5.1430084887822014</v>
      </c>
      <c r="L7" s="8">
        <f t="shared" si="5"/>
        <v>4.8525392589413832</v>
      </c>
    </row>
    <row r="8" spans="1:12" x14ac:dyDescent="0.25">
      <c r="A8" t="s">
        <v>13</v>
      </c>
      <c r="B8">
        <v>139299</v>
      </c>
      <c r="C8">
        <v>279830</v>
      </c>
      <c r="D8">
        <v>340546</v>
      </c>
      <c r="E8">
        <v>528411</v>
      </c>
      <c r="F8" s="7">
        <v>818368.33333333337</v>
      </c>
      <c r="G8" s="7">
        <f t="shared" si="0"/>
        <v>790942.25</v>
      </c>
      <c r="H8" s="8">
        <f t="shared" si="1"/>
        <v>3.7933581719897487</v>
      </c>
      <c r="I8" s="8">
        <f t="shared" si="2"/>
        <v>2.4447124530685791</v>
      </c>
      <c r="J8" s="8">
        <f t="shared" si="3"/>
        <v>2.0088442845964436</v>
      </c>
      <c r="K8" s="8">
        <f t="shared" si="4"/>
        <v>5.8749045817510055</v>
      </c>
      <c r="L8" s="8">
        <f t="shared" si="5"/>
        <v>5.6780181480125487</v>
      </c>
    </row>
    <row r="9" spans="1:12" x14ac:dyDescent="0.25">
      <c r="A9" t="s">
        <v>14</v>
      </c>
      <c r="B9">
        <v>180228</v>
      </c>
      <c r="C9">
        <v>385519</v>
      </c>
      <c r="D9">
        <v>488348</v>
      </c>
      <c r="E9">
        <v>1332956</v>
      </c>
      <c r="F9" s="7">
        <v>878452.66666666663</v>
      </c>
      <c r="G9" s="7">
        <f t="shared" si="0"/>
        <v>758571.75</v>
      </c>
      <c r="H9" s="8">
        <f t="shared" si="1"/>
        <v>7.3959429167498945</v>
      </c>
      <c r="I9" s="8">
        <f t="shared" si="2"/>
        <v>2.7096122689038329</v>
      </c>
      <c r="J9" s="8">
        <f t="shared" si="3"/>
        <v>2.1390627427480746</v>
      </c>
      <c r="K9" s="8">
        <f t="shared" si="4"/>
        <v>4.8741187088946587</v>
      </c>
      <c r="L9" s="8">
        <f t="shared" si="5"/>
        <v>4.2089561555363204</v>
      </c>
    </row>
    <row r="10" spans="1:12" x14ac:dyDescent="0.25">
      <c r="A10" t="s">
        <v>15</v>
      </c>
      <c r="B10">
        <v>175094</v>
      </c>
      <c r="C10">
        <v>330506</v>
      </c>
      <c r="D10">
        <v>368332</v>
      </c>
      <c r="E10">
        <v>593738</v>
      </c>
      <c r="F10" s="7">
        <v>567110.33333333337</v>
      </c>
      <c r="G10" s="7">
        <f t="shared" si="0"/>
        <v>555485.25</v>
      </c>
      <c r="H10" s="8">
        <f t="shared" si="1"/>
        <v>3.3909671376517756</v>
      </c>
      <c r="I10" s="8">
        <f t="shared" si="2"/>
        <v>2.1036243389265197</v>
      </c>
      <c r="J10" s="8">
        <f t="shared" si="3"/>
        <v>1.8875918078289375</v>
      </c>
      <c r="K10" s="8">
        <f t="shared" si="4"/>
        <v>3.2388907291702362</v>
      </c>
      <c r="L10" s="8">
        <f t="shared" si="5"/>
        <v>3.1724973442836419</v>
      </c>
    </row>
    <row r="11" spans="1:12" x14ac:dyDescent="0.25">
      <c r="A11" t="s">
        <v>16</v>
      </c>
      <c r="B11">
        <v>186515</v>
      </c>
      <c r="C11">
        <v>385376</v>
      </c>
      <c r="D11">
        <v>458277</v>
      </c>
      <c r="E11">
        <v>708664</v>
      </c>
      <c r="F11" s="7">
        <v>542734.33333333337</v>
      </c>
      <c r="G11" s="7">
        <f t="shared" si="0"/>
        <v>610716.5</v>
      </c>
      <c r="H11" s="8">
        <f t="shared" si="1"/>
        <v>3.7995013805860118</v>
      </c>
      <c r="I11" s="8">
        <f t="shared" si="2"/>
        <v>2.4570517116585799</v>
      </c>
      <c r="J11" s="8">
        <f t="shared" si="3"/>
        <v>2.066193067581696</v>
      </c>
      <c r="K11" s="8">
        <f t="shared" si="4"/>
        <v>2.9098696262141566</v>
      </c>
      <c r="L11" s="8">
        <f t="shared" si="5"/>
        <v>3.2743559499235988</v>
      </c>
    </row>
    <row r="12" spans="1:12" x14ac:dyDescent="0.25">
      <c r="A12" t="s">
        <v>17</v>
      </c>
      <c r="B12">
        <v>130784</v>
      </c>
      <c r="C12">
        <v>287202</v>
      </c>
      <c r="D12">
        <v>334635</v>
      </c>
      <c r="E12">
        <v>398929</v>
      </c>
      <c r="F12" s="7">
        <v>578067.33333333337</v>
      </c>
      <c r="G12" s="7">
        <f t="shared" si="0"/>
        <v>635847.75</v>
      </c>
      <c r="H12" s="8">
        <f t="shared" si="1"/>
        <v>3.0502890261805726</v>
      </c>
      <c r="I12" s="8">
        <f t="shared" si="2"/>
        <v>2.5586845485686323</v>
      </c>
      <c r="J12" s="8">
        <f t="shared" si="3"/>
        <v>2.196002569121605</v>
      </c>
      <c r="K12" s="8">
        <f t="shared" si="4"/>
        <v>4.4200157001875873</v>
      </c>
      <c r="L12" s="8">
        <f t="shared" si="5"/>
        <v>4.8618160478345978</v>
      </c>
    </row>
    <row r="13" spans="1:12" x14ac:dyDescent="0.25">
      <c r="A13" t="s">
        <v>18</v>
      </c>
      <c r="B13">
        <v>164517</v>
      </c>
      <c r="C13">
        <v>304486</v>
      </c>
      <c r="D13">
        <v>328480</v>
      </c>
      <c r="E13">
        <v>520610</v>
      </c>
      <c r="F13" s="7">
        <v>714820.66666666663</v>
      </c>
      <c r="G13" s="7">
        <f t="shared" si="0"/>
        <v>779405.75</v>
      </c>
      <c r="H13" s="8">
        <f t="shared" si="1"/>
        <v>3.1644754037576663</v>
      </c>
      <c r="I13" s="8">
        <f t="shared" si="2"/>
        <v>1.9966325668471951</v>
      </c>
      <c r="J13" s="8">
        <f t="shared" si="3"/>
        <v>1.8507874566154257</v>
      </c>
      <c r="K13" s="8">
        <f t="shared" si="4"/>
        <v>4.3449653632552661</v>
      </c>
      <c r="L13" s="8">
        <f t="shared" si="5"/>
        <v>4.737539281654783</v>
      </c>
    </row>
    <row r="14" spans="1:12" x14ac:dyDescent="0.25">
      <c r="A14" t="s">
        <v>19</v>
      </c>
      <c r="B14">
        <v>182328</v>
      </c>
      <c r="C14">
        <v>385146</v>
      </c>
      <c r="D14">
        <v>466308</v>
      </c>
      <c r="E14">
        <v>814663</v>
      </c>
      <c r="F14" s="7">
        <v>865671</v>
      </c>
      <c r="G14" s="7">
        <f t="shared" si="0"/>
        <v>830178.5</v>
      </c>
      <c r="H14" s="8">
        <f t="shared" si="1"/>
        <v>4.4681178974156461</v>
      </c>
      <c r="I14" s="8">
        <f t="shared" si="2"/>
        <v>2.5575227063314467</v>
      </c>
      <c r="J14" s="8">
        <f t="shared" si="3"/>
        <v>2.1123798867974202</v>
      </c>
      <c r="K14" s="8">
        <f t="shared" si="4"/>
        <v>4.7478774516256417</v>
      </c>
      <c r="L14" s="8">
        <f t="shared" si="5"/>
        <v>4.5532145364398229</v>
      </c>
    </row>
    <row r="15" spans="1:12" x14ac:dyDescent="0.25">
      <c r="A15" t="s">
        <v>20</v>
      </c>
      <c r="B15">
        <v>229242</v>
      </c>
      <c r="C15">
        <v>441130</v>
      </c>
      <c r="D15">
        <v>499351</v>
      </c>
      <c r="E15">
        <v>809189</v>
      </c>
      <c r="F15" s="7">
        <v>835350.33333333337</v>
      </c>
      <c r="G15" s="7">
        <f t="shared" si="0"/>
        <v>784847.5</v>
      </c>
      <c r="H15" s="8">
        <f t="shared" si="1"/>
        <v>3.5298461887437731</v>
      </c>
      <c r="I15" s="8">
        <f t="shared" si="2"/>
        <v>2.1782701250207204</v>
      </c>
      <c r="J15" s="8">
        <f t="shared" si="3"/>
        <v>1.9242983397457709</v>
      </c>
      <c r="K15" s="8">
        <f t="shared" si="4"/>
        <v>3.6439672195031161</v>
      </c>
      <c r="L15" s="8">
        <f t="shared" si="5"/>
        <v>3.4236636392982089</v>
      </c>
    </row>
    <row r="16" spans="1:12" x14ac:dyDescent="0.25">
      <c r="A16" t="s">
        <v>21</v>
      </c>
      <c r="B16">
        <v>193039</v>
      </c>
      <c r="C16">
        <v>395509</v>
      </c>
      <c r="D16">
        <v>459188</v>
      </c>
      <c r="E16">
        <v>973161</v>
      </c>
      <c r="F16" s="7">
        <v>776733.66666666663</v>
      </c>
      <c r="G16" s="7">
        <f t="shared" si="0"/>
        <v>839346.5</v>
      </c>
      <c r="H16" s="8">
        <f t="shared" si="1"/>
        <v>5.0412662726184863</v>
      </c>
      <c r="I16" s="8">
        <f t="shared" si="2"/>
        <v>2.3787317588673793</v>
      </c>
      <c r="J16" s="8">
        <f t="shared" si="3"/>
        <v>2.0488554126368248</v>
      </c>
      <c r="K16" s="8">
        <f t="shared" si="4"/>
        <v>4.023713688252978</v>
      </c>
      <c r="L16" s="8">
        <f t="shared" si="5"/>
        <v>4.3480669709229742</v>
      </c>
    </row>
    <row r="17" spans="1:12" x14ac:dyDescent="0.25">
      <c r="A17" t="s">
        <v>22</v>
      </c>
      <c r="B17">
        <v>198847</v>
      </c>
      <c r="C17">
        <v>420340</v>
      </c>
      <c r="D17">
        <v>472828</v>
      </c>
      <c r="E17">
        <v>723701</v>
      </c>
      <c r="F17" s="7">
        <v>794741.66666666663</v>
      </c>
      <c r="G17" s="7">
        <f t="shared" si="0"/>
        <v>875361.75</v>
      </c>
      <c r="H17" s="8">
        <f t="shared" si="1"/>
        <v>3.6394866404823811</v>
      </c>
      <c r="I17" s="8">
        <f t="shared" si="2"/>
        <v>2.3778482954231142</v>
      </c>
      <c r="J17" s="8">
        <f t="shared" si="3"/>
        <v>2.1138865559953128</v>
      </c>
      <c r="K17" s="8">
        <f t="shared" si="4"/>
        <v>3.9967495947470497</v>
      </c>
      <c r="L17" s="8">
        <f t="shared" si="5"/>
        <v>4.4021873601311565</v>
      </c>
    </row>
    <row r="18" spans="1:12" x14ac:dyDescent="0.25">
      <c r="A18" t="s">
        <v>23</v>
      </c>
      <c r="B18">
        <v>233419</v>
      </c>
      <c r="C18">
        <v>443073</v>
      </c>
      <c r="D18">
        <v>485153</v>
      </c>
      <c r="E18">
        <v>633339</v>
      </c>
      <c r="F18" s="7">
        <v>925915.33333333337</v>
      </c>
      <c r="H18" s="8">
        <f t="shared" si="1"/>
        <v>2.7133138262095202</v>
      </c>
      <c r="I18" s="8">
        <f t="shared" si="2"/>
        <v>2.078464049627494</v>
      </c>
      <c r="J18" s="8">
        <f t="shared" si="3"/>
        <v>1.898187379776282</v>
      </c>
      <c r="K18" s="8">
        <f t="shared" si="4"/>
        <v>3.9667522066898298</v>
      </c>
      <c r="L18" s="8"/>
    </row>
    <row r="19" spans="1:12" x14ac:dyDescent="0.25">
      <c r="A19" s="10" t="s">
        <v>24</v>
      </c>
      <c r="B19">
        <v>256146</v>
      </c>
      <c r="C19">
        <v>553522</v>
      </c>
      <c r="D19">
        <v>646503</v>
      </c>
      <c r="E19">
        <v>1027185</v>
      </c>
      <c r="H19" s="8">
        <f t="shared" si="1"/>
        <v>4.0101543650886606</v>
      </c>
      <c r="I19" s="8">
        <f t="shared" si="2"/>
        <v>2.5239628961607834</v>
      </c>
      <c r="J19" s="8">
        <f t="shared" si="3"/>
        <v>2.1609628883527363</v>
      </c>
      <c r="K19" s="8"/>
      <c r="L19" s="8"/>
    </row>
    <row r="20" spans="1:12" x14ac:dyDescent="0.25">
      <c r="A20" s="11" t="s">
        <v>25</v>
      </c>
      <c r="B20">
        <v>258995</v>
      </c>
      <c r="C20">
        <v>649221</v>
      </c>
      <c r="D20">
        <v>763577</v>
      </c>
      <c r="E20">
        <v>1117222</v>
      </c>
      <c r="H20" s="8">
        <f t="shared" si="1"/>
        <v>4.3136817313075539</v>
      </c>
      <c r="I20" s="8">
        <f t="shared" si="2"/>
        <v>2.948230660823568</v>
      </c>
      <c r="J20" s="8">
        <f t="shared" si="3"/>
        <v>2.506693179405008</v>
      </c>
      <c r="K20" s="8"/>
      <c r="L20" s="8"/>
    </row>
    <row r="21" spans="1:12" x14ac:dyDescent="0.25">
      <c r="J21" s="8"/>
      <c r="K21" s="8"/>
      <c r="L21" s="8"/>
    </row>
    <row r="22" spans="1:12" x14ac:dyDescent="0.25">
      <c r="A22" t="s">
        <v>26</v>
      </c>
      <c r="B22">
        <f>SUM(B2:B21)</f>
        <v>3326673.4826068403</v>
      </c>
      <c r="C22">
        <f t="shared" ref="C22:F22" si="6">SUM(C2:C21)</f>
        <v>6684296</v>
      </c>
      <c r="D22">
        <f t="shared" si="6"/>
        <v>7793353</v>
      </c>
      <c r="E22">
        <f t="shared" si="6"/>
        <v>12286553</v>
      </c>
      <c r="F22">
        <f t="shared" si="6"/>
        <v>10967199.999999998</v>
      </c>
      <c r="H22" s="8">
        <f t="shared" ref="H22:H23" si="7">E22/B22</f>
        <v>3.6933450379903348</v>
      </c>
      <c r="I22" s="8">
        <f t="shared" ref="I22:I23" si="8">D22/B22</f>
        <v>2.3426864826820908</v>
      </c>
      <c r="J22" s="8">
        <f t="shared" si="3"/>
        <v>2.0093032980086964</v>
      </c>
      <c r="K22" s="8">
        <f t="shared" si="4"/>
        <v>3.296746752376162</v>
      </c>
      <c r="L22" s="8"/>
    </row>
    <row r="23" spans="1:12" x14ac:dyDescent="0.25">
      <c r="A23" t="s">
        <v>27</v>
      </c>
      <c r="B23">
        <f>AVERAGE(B2:B20)</f>
        <v>175088.07803193896</v>
      </c>
      <c r="C23">
        <f t="shared" ref="C23:E23" si="9">AVERAGE(C2:C20)</f>
        <v>351805.05263157893</v>
      </c>
      <c r="D23">
        <f t="shared" si="9"/>
        <v>410176.4736842105</v>
      </c>
      <c r="E23">
        <f t="shared" si="9"/>
        <v>646660.68421052629</v>
      </c>
      <c r="F23" s="7">
        <f>AVERAGE(F2:F18)</f>
        <v>645129.41176470579</v>
      </c>
      <c r="H23" s="8">
        <f t="shared" si="7"/>
        <v>3.6933450379903348</v>
      </c>
      <c r="I23" s="8">
        <f t="shared" si="8"/>
        <v>2.3426864826820908</v>
      </c>
      <c r="J23" s="8">
        <f t="shared" si="3"/>
        <v>2.0093032980086964</v>
      </c>
      <c r="K23" s="8">
        <f t="shared" si="4"/>
        <v>3.6845993114792401</v>
      </c>
      <c r="L23" s="8"/>
    </row>
    <row r="24" spans="1:12" x14ac:dyDescent="0.25">
      <c r="J24" s="8"/>
      <c r="K24" s="8"/>
      <c r="L24" s="8"/>
    </row>
    <row r="25" spans="1:12" x14ac:dyDescent="0.25">
      <c r="A25" t="s">
        <v>31</v>
      </c>
      <c r="B25">
        <f>SUM(B2:B17)</f>
        <v>2578113.4826068403</v>
      </c>
      <c r="C25">
        <f t="shared" ref="C25:G25" si="10">SUM(C2:C17)</f>
        <v>5038480</v>
      </c>
      <c r="D25">
        <f t="shared" si="10"/>
        <v>5898120</v>
      </c>
      <c r="E25">
        <f t="shared" si="10"/>
        <v>9508807</v>
      </c>
      <c r="F25">
        <f t="shared" si="10"/>
        <v>10041284.666666664</v>
      </c>
      <c r="G25">
        <f t="shared" si="10"/>
        <v>10417703.5</v>
      </c>
      <c r="H25" s="8">
        <f t="shared" ref="H25" si="11">E25/B25</f>
        <v>3.6882810101847188</v>
      </c>
      <c r="I25" s="8">
        <f t="shared" ref="I25" si="12">D25/B25</f>
        <v>2.2877658566201515</v>
      </c>
      <c r="J25" s="8">
        <f t="shared" si="3"/>
        <v>1.9543282458246867</v>
      </c>
      <c r="K25" s="8">
        <f t="shared" si="4"/>
        <v>3.8948187247806847</v>
      </c>
      <c r="L25" s="8">
        <f t="shared" si="5"/>
        <v>4.0408242578469498</v>
      </c>
    </row>
    <row r="26" spans="1:12" x14ac:dyDescent="0.25">
      <c r="A26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FA75-BDE8-4F3B-83DF-C872F3D9257E}">
  <dimension ref="A1:L26"/>
  <sheetViews>
    <sheetView workbookViewId="0">
      <selection activeCell="B2" sqref="B2:B20"/>
    </sheetView>
  </sheetViews>
  <sheetFormatPr defaultRowHeight="15" x14ac:dyDescent="0.25"/>
  <cols>
    <col min="8" max="9" width="12.5703125" customWidth="1"/>
  </cols>
  <sheetData>
    <row r="1" spans="1:12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7</v>
      </c>
      <c r="B2" s="7">
        <v>288686.17221908103</v>
      </c>
      <c r="C2">
        <v>476079</v>
      </c>
      <c r="D2">
        <v>527987</v>
      </c>
      <c r="E2">
        <v>678750</v>
      </c>
      <c r="F2" s="7">
        <v>704591.33333333337</v>
      </c>
      <c r="G2" s="7">
        <f>AVERAGE(E2:E5)</f>
        <v>759652.75</v>
      </c>
      <c r="H2" s="8">
        <f>E2/B2</f>
        <v>2.351169073262378</v>
      </c>
      <c r="I2" s="8">
        <f>D2/B2</f>
        <v>1.828930689480049</v>
      </c>
      <c r="J2" s="8">
        <f>C2/B2</f>
        <v>1.6491229778706147</v>
      </c>
      <c r="K2" s="8">
        <f>F2/B2</f>
        <v>2.4406826552074206</v>
      </c>
      <c r="L2" s="8">
        <f>G2/B2</f>
        <v>2.6314137049262865</v>
      </c>
    </row>
    <row r="3" spans="1:12" x14ac:dyDescent="0.25">
      <c r="A3" s="9" t="s">
        <v>8</v>
      </c>
      <c r="B3">
        <v>251762</v>
      </c>
      <c r="C3" s="9">
        <v>405147</v>
      </c>
      <c r="D3" s="9">
        <v>459089</v>
      </c>
      <c r="E3" s="9">
        <v>659383</v>
      </c>
      <c r="F3" s="7">
        <v>786620.33333333337</v>
      </c>
      <c r="G3" s="7">
        <f t="shared" ref="G3:G17" si="0">AVERAGE(E3:E6)</f>
        <v>780055</v>
      </c>
      <c r="H3" s="8">
        <f t="shared" ref="H3:H20" si="1">E3/B3</f>
        <v>2.6190727750812277</v>
      </c>
      <c r="I3" s="8">
        <f t="shared" ref="I3:I20" si="2">D3/B3</f>
        <v>1.8235039442012695</v>
      </c>
      <c r="J3" s="8">
        <f t="shared" ref="J3:J25" si="3">C3/B3</f>
        <v>1.6092460339527013</v>
      </c>
      <c r="K3" s="8">
        <f t="shared" ref="K3:K25" si="4">F3/B3</f>
        <v>3.1244601382787449</v>
      </c>
      <c r="L3" s="8">
        <f t="shared" ref="L3:L25" si="5">G3/B3</f>
        <v>3.098382599439153</v>
      </c>
    </row>
    <row r="4" spans="1:12" x14ac:dyDescent="0.25">
      <c r="A4" t="s">
        <v>9</v>
      </c>
      <c r="B4">
        <v>320082</v>
      </c>
      <c r="C4">
        <v>516083</v>
      </c>
      <c r="D4">
        <v>629043</v>
      </c>
      <c r="E4">
        <v>775641</v>
      </c>
      <c r="F4" s="7">
        <v>820279</v>
      </c>
      <c r="G4" s="7">
        <f t="shared" si="0"/>
        <v>883150</v>
      </c>
      <c r="H4" s="8">
        <f t="shared" si="1"/>
        <v>2.4232571653513788</v>
      </c>
      <c r="I4" s="8">
        <f t="shared" si="2"/>
        <v>1.9652557782068345</v>
      </c>
      <c r="J4" s="8">
        <f t="shared" si="3"/>
        <v>1.6123462112833586</v>
      </c>
      <c r="K4" s="8">
        <f t="shared" si="4"/>
        <v>2.5627151792353211</v>
      </c>
      <c r="L4" s="8">
        <f t="shared" si="5"/>
        <v>2.7591367212151887</v>
      </c>
    </row>
    <row r="5" spans="1:12" x14ac:dyDescent="0.25">
      <c r="A5" t="s">
        <v>10</v>
      </c>
      <c r="B5">
        <v>276531</v>
      </c>
      <c r="C5">
        <v>463541</v>
      </c>
      <c r="D5">
        <v>548114</v>
      </c>
      <c r="E5">
        <v>924837</v>
      </c>
      <c r="F5" s="7">
        <v>918986.33333333337</v>
      </c>
      <c r="G5" s="7">
        <f t="shared" si="0"/>
        <v>950557.75</v>
      </c>
      <c r="H5" s="8">
        <f t="shared" si="1"/>
        <v>3.3444243140913676</v>
      </c>
      <c r="I5" s="8">
        <f t="shared" si="2"/>
        <v>1.9821068885586064</v>
      </c>
      <c r="J5" s="8">
        <f t="shared" si="3"/>
        <v>1.6762713764460404</v>
      </c>
      <c r="K5" s="8">
        <f t="shared" si="4"/>
        <v>3.3232669513845949</v>
      </c>
      <c r="L5" s="8">
        <f t="shared" si="5"/>
        <v>3.4374364899414531</v>
      </c>
    </row>
    <row r="6" spans="1:12" x14ac:dyDescent="0.25">
      <c r="A6" t="s">
        <v>11</v>
      </c>
      <c r="B6">
        <v>337402</v>
      </c>
      <c r="C6">
        <v>545345</v>
      </c>
      <c r="D6">
        <v>604278</v>
      </c>
      <c r="E6">
        <v>760359</v>
      </c>
      <c r="F6" s="7">
        <v>959131.33333333337</v>
      </c>
      <c r="G6" s="7">
        <f t="shared" si="0"/>
        <v>1130165</v>
      </c>
      <c r="H6" s="8">
        <f t="shared" si="1"/>
        <v>2.2535699254894754</v>
      </c>
      <c r="I6" s="8">
        <f t="shared" si="2"/>
        <v>1.7909733789366986</v>
      </c>
      <c r="J6" s="8">
        <f t="shared" si="3"/>
        <v>1.6163063645147331</v>
      </c>
      <c r="K6" s="8">
        <f t="shared" si="4"/>
        <v>2.8426960519894173</v>
      </c>
      <c r="L6" s="8">
        <f t="shared" si="5"/>
        <v>3.3496096644358953</v>
      </c>
    </row>
    <row r="7" spans="1:12" x14ac:dyDescent="0.25">
      <c r="A7" t="s">
        <v>12</v>
      </c>
      <c r="B7">
        <v>290658</v>
      </c>
      <c r="C7">
        <v>469304</v>
      </c>
      <c r="D7">
        <v>659868</v>
      </c>
      <c r="E7">
        <v>1071763</v>
      </c>
      <c r="F7" s="7">
        <v>1253433.6666666667</v>
      </c>
      <c r="G7" s="7">
        <f t="shared" si="0"/>
        <v>1361057.25</v>
      </c>
      <c r="H7" s="8">
        <f t="shared" si="1"/>
        <v>3.6873679719808159</v>
      </c>
      <c r="I7" s="8">
        <f t="shared" si="2"/>
        <v>2.2702557645067398</v>
      </c>
      <c r="J7" s="8">
        <f t="shared" si="3"/>
        <v>1.6146261241734272</v>
      </c>
      <c r="K7" s="8">
        <f t="shared" si="4"/>
        <v>4.3124003697357951</v>
      </c>
      <c r="L7" s="8">
        <f t="shared" si="5"/>
        <v>4.682676031624796</v>
      </c>
    </row>
    <row r="8" spans="1:12" x14ac:dyDescent="0.25">
      <c r="A8" t="s">
        <v>13</v>
      </c>
      <c r="B8">
        <v>318624</v>
      </c>
      <c r="C8">
        <v>489755</v>
      </c>
      <c r="D8">
        <v>597709</v>
      </c>
      <c r="E8">
        <v>1045272</v>
      </c>
      <c r="F8" s="7">
        <v>1457488.6666666667</v>
      </c>
      <c r="G8" s="7">
        <f t="shared" si="0"/>
        <v>1473817</v>
      </c>
      <c r="H8" s="8">
        <f t="shared" si="1"/>
        <v>3.2805815004519432</v>
      </c>
      <c r="I8" s="8">
        <f t="shared" si="2"/>
        <v>1.875907025208396</v>
      </c>
      <c r="J8" s="8">
        <f t="shared" si="3"/>
        <v>1.5370938786783168</v>
      </c>
      <c r="K8" s="8">
        <f t="shared" si="4"/>
        <v>4.5743216664992801</v>
      </c>
      <c r="L8" s="8">
        <f t="shared" si="5"/>
        <v>4.6255680676910718</v>
      </c>
    </row>
    <row r="9" spans="1:12" x14ac:dyDescent="0.25">
      <c r="A9" t="s">
        <v>14</v>
      </c>
      <c r="B9">
        <v>380305</v>
      </c>
      <c r="C9">
        <v>653893</v>
      </c>
      <c r="D9">
        <v>776907</v>
      </c>
      <c r="E9">
        <v>1643266</v>
      </c>
      <c r="F9" s="7">
        <v>1616665.3333333333</v>
      </c>
      <c r="G9" s="7">
        <f t="shared" si="0"/>
        <v>1444652.75</v>
      </c>
      <c r="H9" s="8">
        <f t="shared" si="1"/>
        <v>4.3209161068090083</v>
      </c>
      <c r="I9" s="8">
        <f t="shared" si="2"/>
        <v>2.0428524473777627</v>
      </c>
      <c r="J9" s="8">
        <f t="shared" si="3"/>
        <v>1.7193910151062963</v>
      </c>
      <c r="K9" s="8">
        <f t="shared" si="4"/>
        <v>4.2509704929815104</v>
      </c>
      <c r="L9" s="8">
        <f t="shared" si="5"/>
        <v>3.7986688315956929</v>
      </c>
    </row>
    <row r="10" spans="1:12" x14ac:dyDescent="0.25">
      <c r="A10" t="s">
        <v>15</v>
      </c>
      <c r="B10">
        <v>475222</v>
      </c>
      <c r="C10">
        <v>780828</v>
      </c>
      <c r="D10">
        <v>912959</v>
      </c>
      <c r="E10">
        <v>1683928</v>
      </c>
      <c r="F10" s="7">
        <v>1378448.3333333333</v>
      </c>
      <c r="G10" s="7">
        <f t="shared" si="0"/>
        <v>1410579</v>
      </c>
      <c r="H10" s="8">
        <f t="shared" si="1"/>
        <v>3.5434554797547251</v>
      </c>
      <c r="I10" s="8">
        <f t="shared" si="2"/>
        <v>1.9211210760444593</v>
      </c>
      <c r="J10" s="8">
        <f t="shared" si="3"/>
        <v>1.6430804971150326</v>
      </c>
      <c r="K10" s="8">
        <f t="shared" si="4"/>
        <v>2.9006408233064405</v>
      </c>
      <c r="L10" s="8">
        <f t="shared" si="5"/>
        <v>2.9682527324071697</v>
      </c>
    </row>
    <row r="11" spans="1:12" x14ac:dyDescent="0.25">
      <c r="A11" t="s">
        <v>16</v>
      </c>
      <c r="B11">
        <v>437652</v>
      </c>
      <c r="C11">
        <v>658350</v>
      </c>
      <c r="D11">
        <v>755792</v>
      </c>
      <c r="E11">
        <v>1522802</v>
      </c>
      <c r="F11" s="7">
        <v>1319462.6666666667</v>
      </c>
      <c r="G11" s="7">
        <f t="shared" si="0"/>
        <v>1295967.5</v>
      </c>
      <c r="H11" s="8">
        <f t="shared" si="1"/>
        <v>3.4794814144571484</v>
      </c>
      <c r="I11" s="8">
        <f t="shared" si="2"/>
        <v>1.7269245884858289</v>
      </c>
      <c r="J11" s="8">
        <f t="shared" si="3"/>
        <v>1.5042773710619397</v>
      </c>
      <c r="K11" s="8">
        <f t="shared" si="4"/>
        <v>3.0148672156568845</v>
      </c>
      <c r="L11" s="8">
        <f t="shared" si="5"/>
        <v>2.9611826291208541</v>
      </c>
    </row>
    <row r="12" spans="1:12" x14ac:dyDescent="0.25">
      <c r="A12" t="s">
        <v>17</v>
      </c>
      <c r="B12">
        <v>389104</v>
      </c>
      <c r="C12">
        <v>652230</v>
      </c>
      <c r="D12">
        <v>732279</v>
      </c>
      <c r="E12">
        <v>928615</v>
      </c>
      <c r="F12" s="7">
        <v>1220356</v>
      </c>
      <c r="G12" s="7">
        <f t="shared" si="0"/>
        <v>1232942.5</v>
      </c>
      <c r="H12" s="8">
        <f t="shared" si="1"/>
        <v>2.3865470414079528</v>
      </c>
      <c r="I12" s="8">
        <f t="shared" si="2"/>
        <v>1.8819621489370451</v>
      </c>
      <c r="J12" s="8">
        <f t="shared" si="3"/>
        <v>1.6762356593609935</v>
      </c>
      <c r="K12" s="8">
        <f t="shared" si="4"/>
        <v>3.1363234507997864</v>
      </c>
      <c r="L12" s="8">
        <f t="shared" si="5"/>
        <v>3.1686708437846951</v>
      </c>
    </row>
    <row r="13" spans="1:12" x14ac:dyDescent="0.25">
      <c r="A13" t="s">
        <v>18</v>
      </c>
      <c r="B13">
        <v>476337</v>
      </c>
      <c r="C13">
        <v>741951</v>
      </c>
      <c r="D13">
        <v>804321</v>
      </c>
      <c r="E13">
        <v>1506971</v>
      </c>
      <c r="F13" s="7">
        <v>1334385</v>
      </c>
      <c r="G13" s="7">
        <f t="shared" si="0"/>
        <v>1486828</v>
      </c>
      <c r="H13" s="8">
        <f t="shared" si="1"/>
        <v>3.1636656400825465</v>
      </c>
      <c r="I13" s="8">
        <f t="shared" si="2"/>
        <v>1.6885545317705741</v>
      </c>
      <c r="J13" s="8">
        <f t="shared" si="3"/>
        <v>1.5576178209964793</v>
      </c>
      <c r="K13" s="8">
        <f t="shared" si="4"/>
        <v>2.8013465256740502</v>
      </c>
      <c r="L13" s="8">
        <f t="shared" si="5"/>
        <v>3.121378351881126</v>
      </c>
    </row>
    <row r="14" spans="1:12" x14ac:dyDescent="0.25">
      <c r="A14" t="s">
        <v>19</v>
      </c>
      <c r="B14">
        <v>516277</v>
      </c>
      <c r="C14">
        <v>830915</v>
      </c>
      <c r="D14">
        <v>926374</v>
      </c>
      <c r="E14">
        <v>1225482</v>
      </c>
      <c r="F14" s="7">
        <v>1480113.6666666667</v>
      </c>
      <c r="G14" s="7">
        <f t="shared" si="0"/>
        <v>1446936.75</v>
      </c>
      <c r="H14" s="8">
        <f t="shared" si="1"/>
        <v>2.3736908674994237</v>
      </c>
      <c r="I14" s="8">
        <f t="shared" si="2"/>
        <v>1.7943352115240463</v>
      </c>
      <c r="J14" s="8">
        <f t="shared" si="3"/>
        <v>1.6094364072000109</v>
      </c>
      <c r="K14" s="8">
        <f t="shared" si="4"/>
        <v>2.8668983252530458</v>
      </c>
      <c r="L14" s="8">
        <f t="shared" si="5"/>
        <v>2.8026364722813528</v>
      </c>
    </row>
    <row r="15" spans="1:12" x14ac:dyDescent="0.25">
      <c r="A15" t="s">
        <v>20</v>
      </c>
      <c r="B15">
        <v>565521</v>
      </c>
      <c r="C15">
        <v>917576</v>
      </c>
      <c r="D15">
        <v>1029312</v>
      </c>
      <c r="E15">
        <v>1270702</v>
      </c>
      <c r="F15" s="7">
        <v>1520755</v>
      </c>
      <c r="G15" s="7">
        <f t="shared" si="0"/>
        <v>1614813.75</v>
      </c>
      <c r="H15" s="8">
        <f t="shared" si="1"/>
        <v>2.2469581147296034</v>
      </c>
      <c r="I15" s="8">
        <f t="shared" si="2"/>
        <v>1.8201127809577362</v>
      </c>
      <c r="J15" s="8">
        <f t="shared" si="3"/>
        <v>1.6225321429266111</v>
      </c>
      <c r="K15" s="8">
        <f t="shared" si="4"/>
        <v>2.6891220662009014</v>
      </c>
      <c r="L15" s="8">
        <f t="shared" si="5"/>
        <v>2.8554443601563868</v>
      </c>
    </row>
    <row r="16" spans="1:12" x14ac:dyDescent="0.25">
      <c r="A16" t="s">
        <v>21</v>
      </c>
      <c r="B16">
        <v>592718</v>
      </c>
      <c r="C16">
        <v>886355</v>
      </c>
      <c r="D16">
        <v>1000161</v>
      </c>
      <c r="E16">
        <v>1944157</v>
      </c>
      <c r="F16" s="7">
        <v>1729517.6666666667</v>
      </c>
      <c r="G16" s="7">
        <f t="shared" si="0"/>
        <v>1690967.5</v>
      </c>
      <c r="H16" s="8">
        <f t="shared" si="1"/>
        <v>3.2800707925185333</v>
      </c>
      <c r="I16" s="8">
        <f t="shared" si="2"/>
        <v>1.6874145883877325</v>
      </c>
      <c r="J16" s="8">
        <f t="shared" si="3"/>
        <v>1.4954075968673131</v>
      </c>
      <c r="K16" s="8">
        <f t="shared" si="4"/>
        <v>2.917943552695661</v>
      </c>
      <c r="L16" s="8">
        <f t="shared" si="5"/>
        <v>2.8529039104599487</v>
      </c>
    </row>
    <row r="17" spans="1:12" x14ac:dyDescent="0.25">
      <c r="A17" t="s">
        <v>22</v>
      </c>
      <c r="B17">
        <v>617506</v>
      </c>
      <c r="C17">
        <v>878171</v>
      </c>
      <c r="D17">
        <v>986177</v>
      </c>
      <c r="E17">
        <v>1347406</v>
      </c>
      <c r="F17" s="7">
        <v>1606571</v>
      </c>
      <c r="G17" s="7">
        <f t="shared" si="0"/>
        <v>1687082</v>
      </c>
      <c r="H17" s="8">
        <f t="shared" si="1"/>
        <v>2.1820128063532986</v>
      </c>
      <c r="I17" s="8">
        <f t="shared" si="2"/>
        <v>1.5970322555570311</v>
      </c>
      <c r="J17" s="8">
        <f t="shared" si="3"/>
        <v>1.4221254530320353</v>
      </c>
      <c r="K17" s="8">
        <f t="shared" si="4"/>
        <v>2.6017091331906088</v>
      </c>
      <c r="L17" s="8">
        <f t="shared" si="5"/>
        <v>2.7320900525662908</v>
      </c>
    </row>
    <row r="18" spans="1:12" x14ac:dyDescent="0.25">
      <c r="A18" t="s">
        <v>23</v>
      </c>
      <c r="B18">
        <v>679395</v>
      </c>
      <c r="C18">
        <v>1021197</v>
      </c>
      <c r="D18">
        <v>1127752</v>
      </c>
      <c r="E18">
        <v>1896990</v>
      </c>
      <c r="F18" s="7">
        <v>1800307.3333333333</v>
      </c>
      <c r="H18" s="8">
        <f t="shared" si="1"/>
        <v>2.7921753913408254</v>
      </c>
      <c r="I18" s="8">
        <f t="shared" si="2"/>
        <v>1.6599356780665151</v>
      </c>
      <c r="J18" s="8">
        <f t="shared" si="3"/>
        <v>1.5030976089020378</v>
      </c>
      <c r="K18" s="8">
        <f t="shared" si="4"/>
        <v>2.6498683878058173</v>
      </c>
      <c r="L18" s="8"/>
    </row>
    <row r="19" spans="1:12" x14ac:dyDescent="0.25">
      <c r="A19" s="10" t="s">
        <v>24</v>
      </c>
      <c r="B19">
        <v>624226</v>
      </c>
      <c r="C19">
        <v>1024191</v>
      </c>
      <c r="D19">
        <v>1122957</v>
      </c>
      <c r="E19">
        <v>1575317</v>
      </c>
      <c r="H19" s="8">
        <f t="shared" si="1"/>
        <v>2.5236324664464473</v>
      </c>
      <c r="I19" s="8">
        <f t="shared" si="2"/>
        <v>1.7989590308638217</v>
      </c>
      <c r="J19" s="8">
        <f t="shared" si="3"/>
        <v>1.6407374893067574</v>
      </c>
      <c r="K19" s="8"/>
      <c r="L19" s="8"/>
    </row>
    <row r="20" spans="1:12" x14ac:dyDescent="0.25">
      <c r="A20" s="11" t="s">
        <v>25</v>
      </c>
      <c r="B20">
        <v>611554</v>
      </c>
      <c r="C20">
        <v>893733</v>
      </c>
      <c r="D20">
        <v>973146</v>
      </c>
      <c r="E20">
        <v>1928615</v>
      </c>
      <c r="H20" s="8">
        <f t="shared" si="1"/>
        <v>3.1536299329249746</v>
      </c>
      <c r="I20" s="8">
        <f t="shared" si="2"/>
        <v>1.5912674923228365</v>
      </c>
      <c r="J20" s="8">
        <f t="shared" si="3"/>
        <v>1.4614130559198371</v>
      </c>
      <c r="K20" s="8"/>
      <c r="L20" s="8"/>
    </row>
    <row r="21" spans="1:12" x14ac:dyDescent="0.25">
      <c r="J21" s="8"/>
      <c r="K21" s="8"/>
      <c r="L21" s="8"/>
    </row>
    <row r="22" spans="1:12" x14ac:dyDescent="0.25">
      <c r="A22" t="s">
        <v>26</v>
      </c>
      <c r="B22">
        <f>SUM(B2:B21)</f>
        <v>8449562.1722190809</v>
      </c>
      <c r="C22">
        <f t="shared" ref="C22:F22" si="6">SUM(C2:C21)</f>
        <v>13304644</v>
      </c>
      <c r="D22">
        <f t="shared" si="6"/>
        <v>15174225</v>
      </c>
      <c r="E22">
        <f t="shared" si="6"/>
        <v>24390256</v>
      </c>
      <c r="F22">
        <f t="shared" si="6"/>
        <v>21907112.666666668</v>
      </c>
      <c r="H22" s="8">
        <f t="shared" ref="H22:H23" si="7">E22/B22</f>
        <v>2.8865703929833879</v>
      </c>
      <c r="I22" s="8">
        <f t="shared" ref="I22:I23" si="8">D22/B22</f>
        <v>1.7958593227339781</v>
      </c>
      <c r="J22" s="8">
        <f t="shared" si="3"/>
        <v>1.5745956688434952</v>
      </c>
      <c r="K22" s="8">
        <f t="shared" si="4"/>
        <v>2.5926920496181491</v>
      </c>
      <c r="L22" s="8"/>
    </row>
    <row r="23" spans="1:12" x14ac:dyDescent="0.25">
      <c r="A23" t="s">
        <v>27</v>
      </c>
      <c r="B23">
        <f>AVERAGE(B2:B20)</f>
        <v>444713.79853784636</v>
      </c>
      <c r="C23">
        <f t="shared" ref="C23:E23" si="9">AVERAGE(C2:C20)</f>
        <v>700244.42105263157</v>
      </c>
      <c r="D23">
        <f t="shared" si="9"/>
        <v>798643.42105263157</v>
      </c>
      <c r="E23">
        <f t="shared" si="9"/>
        <v>1283697.6842105263</v>
      </c>
      <c r="F23" s="7">
        <f>AVERAGE(F2:F18)</f>
        <v>1288653.6862745099</v>
      </c>
      <c r="H23" s="8">
        <f t="shared" si="7"/>
        <v>2.8865703929833879</v>
      </c>
      <c r="I23" s="8">
        <f t="shared" si="8"/>
        <v>1.7958593227339781</v>
      </c>
      <c r="J23" s="8">
        <f t="shared" si="3"/>
        <v>1.5745956688434952</v>
      </c>
      <c r="K23" s="8">
        <f t="shared" si="4"/>
        <v>2.8977146436908723</v>
      </c>
      <c r="L23" s="8"/>
    </row>
    <row r="24" spans="1:12" x14ac:dyDescent="0.25">
      <c r="J24" s="8"/>
      <c r="K24" s="8"/>
      <c r="L24" s="8"/>
    </row>
    <row r="25" spans="1:12" x14ac:dyDescent="0.25">
      <c r="A25" t="s">
        <v>31</v>
      </c>
      <c r="B25">
        <f>SUM(B2:B17)</f>
        <v>6534387.1722190809</v>
      </c>
      <c r="C25">
        <f t="shared" ref="C25:G25" si="10">SUM(C2:C17)</f>
        <v>10365523</v>
      </c>
      <c r="D25">
        <f t="shared" si="10"/>
        <v>11950370</v>
      </c>
      <c r="E25">
        <v>18989334</v>
      </c>
      <c r="F25">
        <f t="shared" si="10"/>
        <v>20106805.333333336</v>
      </c>
      <c r="G25">
        <f t="shared" si="10"/>
        <v>20649224.5</v>
      </c>
      <c r="H25" s="8">
        <f t="shared" ref="H25" si="11">E25/B25</f>
        <v>2.9060619610562828</v>
      </c>
      <c r="I25" s="8">
        <f t="shared" ref="I25" si="12">D25/B25</f>
        <v>1.8288432694663315</v>
      </c>
      <c r="J25" s="8">
        <f t="shared" si="3"/>
        <v>1.5863037690923758</v>
      </c>
      <c r="K25" s="8">
        <f t="shared" si="4"/>
        <v>3.0770759067992377</v>
      </c>
      <c r="L25" s="8">
        <f t="shared" si="5"/>
        <v>3.1600858589754353</v>
      </c>
    </row>
    <row r="26" spans="1:12" x14ac:dyDescent="0.25">
      <c r="A26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C41F-D85D-4CCE-BDCF-80D5A5740F38}">
  <dimension ref="A1:L26"/>
  <sheetViews>
    <sheetView workbookViewId="0">
      <selection activeCell="F1" sqref="F1"/>
    </sheetView>
  </sheetViews>
  <sheetFormatPr defaultRowHeight="15" x14ac:dyDescent="0.25"/>
  <cols>
    <col min="8" max="9" width="13.8554687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7</v>
      </c>
      <c r="B2" s="7">
        <v>380972.6748136807</v>
      </c>
      <c r="C2">
        <v>483434</v>
      </c>
      <c r="D2">
        <v>510624</v>
      </c>
      <c r="E2">
        <v>519137</v>
      </c>
      <c r="F2" s="7">
        <v>631516</v>
      </c>
      <c r="G2" s="7">
        <f>AVERAGE(E2:E5)</f>
        <v>642360.75</v>
      </c>
      <c r="H2" s="8">
        <f>E2/B2</f>
        <v>1.3626620341049138</v>
      </c>
      <c r="I2" s="8">
        <f>D2/B2</f>
        <v>1.3403165994771853</v>
      </c>
      <c r="J2" s="8">
        <f>C2/B2</f>
        <v>1.2689466514532288</v>
      </c>
      <c r="K2" s="8">
        <f>F2/B2</f>
        <v>1.6576411951561896</v>
      </c>
      <c r="L2" s="8">
        <f>G2/B2</f>
        <v>1.6861071474854576</v>
      </c>
    </row>
    <row r="3" spans="1:12" x14ac:dyDescent="0.25">
      <c r="A3" s="9" t="s">
        <v>8</v>
      </c>
      <c r="B3">
        <v>444129</v>
      </c>
      <c r="C3" s="9">
        <v>589420</v>
      </c>
      <c r="D3" s="9">
        <v>613708</v>
      </c>
      <c r="E3" s="9">
        <v>807798</v>
      </c>
      <c r="F3" s="7">
        <v>683435.33333333337</v>
      </c>
      <c r="G3" s="7">
        <f t="shared" ref="G3:G17" si="0">AVERAGE(E3:E6)</f>
        <v>707675.25</v>
      </c>
      <c r="H3" s="8">
        <f t="shared" ref="H3:H20" si="1">E3/B3</f>
        <v>1.8188364191484907</v>
      </c>
      <c r="I3" s="8">
        <f t="shared" ref="I3:I20" si="2">D3/B3</f>
        <v>1.3818237494061409</v>
      </c>
      <c r="J3" s="8">
        <f t="shared" ref="J3:J25" si="3">C3/B3</f>
        <v>1.3271369354399285</v>
      </c>
      <c r="K3" s="8">
        <f t="shared" ref="K3:K25" si="4">F3/B3</f>
        <v>1.5388216786864477</v>
      </c>
      <c r="L3" s="8">
        <f t="shared" ref="L3:L25" si="5">G3/B3</f>
        <v>1.5934002283120445</v>
      </c>
    </row>
    <row r="4" spans="1:12" x14ac:dyDescent="0.25">
      <c r="A4" t="s">
        <v>9</v>
      </c>
      <c r="B4">
        <v>397613</v>
      </c>
      <c r="C4">
        <v>519103</v>
      </c>
      <c r="D4">
        <v>541625</v>
      </c>
      <c r="E4">
        <v>567613</v>
      </c>
      <c r="F4" s="7">
        <v>674301</v>
      </c>
      <c r="G4" s="7">
        <f t="shared" si="0"/>
        <v>724423.5</v>
      </c>
      <c r="H4" s="8">
        <f t="shared" si="1"/>
        <v>1.4275514130574201</v>
      </c>
      <c r="I4" s="8">
        <f t="shared" si="2"/>
        <v>1.3621913770425012</v>
      </c>
      <c r="J4" s="8">
        <f t="shared" si="3"/>
        <v>1.3055483598373292</v>
      </c>
      <c r="K4" s="8">
        <f t="shared" si="4"/>
        <v>1.6958726198590086</v>
      </c>
      <c r="L4" s="8">
        <f t="shared" si="5"/>
        <v>1.8219311239823648</v>
      </c>
    </row>
    <row r="5" spans="1:12" x14ac:dyDescent="0.25">
      <c r="A5" t="s">
        <v>10</v>
      </c>
      <c r="B5">
        <v>377781</v>
      </c>
      <c r="C5">
        <v>535639</v>
      </c>
      <c r="D5">
        <v>580248</v>
      </c>
      <c r="E5">
        <v>674895</v>
      </c>
      <c r="F5" s="7">
        <v>776693.66666666663</v>
      </c>
      <c r="G5" s="7">
        <f t="shared" si="0"/>
        <v>767367.5</v>
      </c>
      <c r="H5" s="8">
        <f t="shared" si="1"/>
        <v>1.7864715271546214</v>
      </c>
      <c r="I5" s="8">
        <f t="shared" si="2"/>
        <v>1.5359374875920175</v>
      </c>
      <c r="J5" s="8">
        <f t="shared" si="3"/>
        <v>1.4178558477001226</v>
      </c>
      <c r="K5" s="8">
        <f t="shared" si="4"/>
        <v>2.0559362876022527</v>
      </c>
      <c r="L5" s="8">
        <f t="shared" si="5"/>
        <v>2.0312495864005866</v>
      </c>
    </row>
    <row r="6" spans="1:12" x14ac:dyDescent="0.25">
      <c r="A6" t="s">
        <v>11</v>
      </c>
      <c r="B6">
        <v>377944</v>
      </c>
      <c r="C6">
        <v>468189</v>
      </c>
      <c r="D6">
        <v>559330</v>
      </c>
      <c r="E6">
        <v>780395</v>
      </c>
      <c r="F6" s="7">
        <v>798191.66666666663</v>
      </c>
      <c r="G6" s="7">
        <f t="shared" si="0"/>
        <v>857851.25</v>
      </c>
      <c r="H6" s="8">
        <f t="shared" si="1"/>
        <v>2.0648429396947696</v>
      </c>
      <c r="I6" s="8">
        <f t="shared" si="2"/>
        <v>1.4799282433376373</v>
      </c>
      <c r="J6" s="8">
        <f t="shared" si="3"/>
        <v>1.238778760874627</v>
      </c>
      <c r="K6" s="8">
        <f t="shared" si="4"/>
        <v>2.1119310444580854</v>
      </c>
      <c r="L6" s="8">
        <f t="shared" si="5"/>
        <v>2.269784015621362</v>
      </c>
    </row>
    <row r="7" spans="1:12" x14ac:dyDescent="0.25">
      <c r="A7" t="s">
        <v>12</v>
      </c>
      <c r="B7">
        <v>384703</v>
      </c>
      <c r="C7">
        <v>567097</v>
      </c>
      <c r="D7">
        <v>670892</v>
      </c>
      <c r="E7">
        <v>874791</v>
      </c>
      <c r="F7" s="7">
        <v>883670</v>
      </c>
      <c r="G7" s="7">
        <f t="shared" si="0"/>
        <v>916768.25</v>
      </c>
      <c r="H7" s="8">
        <f t="shared" si="1"/>
        <v>2.273938596787652</v>
      </c>
      <c r="I7" s="8">
        <f t="shared" si="2"/>
        <v>1.7439219345833019</v>
      </c>
      <c r="J7" s="8">
        <f t="shared" si="3"/>
        <v>1.4741163962849262</v>
      </c>
      <c r="K7" s="8">
        <f t="shared" si="4"/>
        <v>2.297018739131226</v>
      </c>
      <c r="L7" s="8">
        <f t="shared" si="5"/>
        <v>2.3830545901643605</v>
      </c>
    </row>
    <row r="8" spans="1:12" x14ac:dyDescent="0.25">
      <c r="A8" t="s">
        <v>13</v>
      </c>
      <c r="B8">
        <v>401892</v>
      </c>
      <c r="C8">
        <v>545192</v>
      </c>
      <c r="D8">
        <v>612214</v>
      </c>
      <c r="E8">
        <v>739389</v>
      </c>
      <c r="F8" s="7">
        <v>930760.66666666663</v>
      </c>
      <c r="G8" s="7">
        <f t="shared" si="0"/>
        <v>992726.25</v>
      </c>
      <c r="H8" s="8">
        <f t="shared" si="1"/>
        <v>1.8397703860738706</v>
      </c>
      <c r="I8" s="8">
        <f t="shared" si="2"/>
        <v>1.5233296507519434</v>
      </c>
      <c r="J8" s="8">
        <f t="shared" si="3"/>
        <v>1.3565634548585193</v>
      </c>
      <c r="K8" s="8">
        <f t="shared" si="4"/>
        <v>2.3159472362392548</v>
      </c>
      <c r="L8" s="8">
        <f t="shared" si="5"/>
        <v>2.4701319011077603</v>
      </c>
    </row>
    <row r="9" spans="1:12" x14ac:dyDescent="0.25">
      <c r="A9" t="s">
        <v>14</v>
      </c>
      <c r="B9">
        <v>453204</v>
      </c>
      <c r="C9">
        <v>616532</v>
      </c>
      <c r="D9">
        <v>664466</v>
      </c>
      <c r="E9">
        <v>1036830</v>
      </c>
      <c r="F9" s="7">
        <v>1077172</v>
      </c>
      <c r="G9" s="7">
        <f t="shared" si="0"/>
        <v>1018505.5</v>
      </c>
      <c r="H9" s="8">
        <f t="shared" si="1"/>
        <v>2.2877776895173034</v>
      </c>
      <c r="I9" s="8">
        <f t="shared" si="2"/>
        <v>1.466152108101429</v>
      </c>
      <c r="J9" s="8">
        <f t="shared" si="3"/>
        <v>1.3603851687098967</v>
      </c>
      <c r="K9" s="8">
        <f t="shared" si="4"/>
        <v>2.3767927908844584</v>
      </c>
      <c r="L9" s="8">
        <f t="shared" si="5"/>
        <v>2.2473444629791439</v>
      </c>
    </row>
    <row r="10" spans="1:12" x14ac:dyDescent="0.25">
      <c r="A10" t="s">
        <v>15</v>
      </c>
      <c r="B10">
        <v>566413</v>
      </c>
      <c r="C10">
        <v>789897</v>
      </c>
      <c r="D10">
        <v>847679</v>
      </c>
      <c r="E10">
        <v>1016063</v>
      </c>
      <c r="F10" s="7">
        <v>1012397.3333333334</v>
      </c>
      <c r="G10" s="7">
        <f t="shared" si="0"/>
        <v>1091509.25</v>
      </c>
      <c r="H10" s="8">
        <f t="shared" si="1"/>
        <v>1.7938553670201778</v>
      </c>
      <c r="I10" s="8">
        <f t="shared" si="2"/>
        <v>1.4965740546209214</v>
      </c>
      <c r="J10" s="8">
        <f t="shared" si="3"/>
        <v>1.3945601531038305</v>
      </c>
      <c r="K10" s="8">
        <f t="shared" si="4"/>
        <v>1.7873836464440847</v>
      </c>
      <c r="L10" s="8">
        <f t="shared" si="5"/>
        <v>1.927055434815232</v>
      </c>
    </row>
    <row r="11" spans="1:12" x14ac:dyDescent="0.25">
      <c r="A11" t="s">
        <v>16</v>
      </c>
      <c r="B11">
        <v>630068</v>
      </c>
      <c r="C11">
        <v>856555</v>
      </c>
      <c r="D11">
        <v>912425</v>
      </c>
      <c r="E11">
        <v>1178623</v>
      </c>
      <c r="F11" s="7">
        <v>1116658</v>
      </c>
      <c r="G11" s="7">
        <f t="shared" si="0"/>
        <v>1047678</v>
      </c>
      <c r="H11" s="8">
        <f t="shared" si="1"/>
        <v>1.8706282496492441</v>
      </c>
      <c r="I11" s="8">
        <f t="shared" si="2"/>
        <v>1.4481373439057372</v>
      </c>
      <c r="J11" s="8">
        <f t="shared" si="3"/>
        <v>1.3594643752737801</v>
      </c>
      <c r="K11" s="8">
        <f t="shared" si="4"/>
        <v>1.7722817219728664</v>
      </c>
      <c r="L11" s="8">
        <f t="shared" si="5"/>
        <v>1.6628014753963065</v>
      </c>
    </row>
    <row r="12" spans="1:12" x14ac:dyDescent="0.25">
      <c r="A12" t="s">
        <v>17</v>
      </c>
      <c r="B12">
        <v>583612</v>
      </c>
      <c r="C12">
        <v>756244</v>
      </c>
      <c r="D12">
        <v>773688</v>
      </c>
      <c r="E12">
        <v>842506</v>
      </c>
      <c r="F12" s="7">
        <v>1004029.6666666666</v>
      </c>
      <c r="G12" s="7">
        <f t="shared" si="0"/>
        <v>1206688</v>
      </c>
      <c r="H12" s="8">
        <f t="shared" si="1"/>
        <v>1.4436063686147647</v>
      </c>
      <c r="I12" s="8">
        <f t="shared" si="2"/>
        <v>1.3256889851476665</v>
      </c>
      <c r="J12" s="8">
        <f t="shared" si="3"/>
        <v>1.2957992638945053</v>
      </c>
      <c r="K12" s="8">
        <f t="shared" si="4"/>
        <v>1.7203718680675975</v>
      </c>
      <c r="L12" s="8">
        <f t="shared" si="5"/>
        <v>2.0676202682604194</v>
      </c>
    </row>
    <row r="13" spans="1:12" x14ac:dyDescent="0.25">
      <c r="A13" t="s">
        <v>18</v>
      </c>
      <c r="B13">
        <v>659904</v>
      </c>
      <c r="C13">
        <v>898110</v>
      </c>
      <c r="D13">
        <v>943095</v>
      </c>
      <c r="E13">
        <v>1328845</v>
      </c>
      <c r="F13" s="7">
        <v>1328082</v>
      </c>
      <c r="G13" s="7">
        <f t="shared" si="0"/>
        <v>1284266.25</v>
      </c>
      <c r="H13" s="8">
        <f t="shared" si="1"/>
        <v>2.0136944161575019</v>
      </c>
      <c r="I13" s="8">
        <f t="shared" si="2"/>
        <v>1.4291396930462612</v>
      </c>
      <c r="J13" s="8">
        <f t="shared" si="3"/>
        <v>1.3609706866453302</v>
      </c>
      <c r="K13" s="8">
        <f t="shared" si="4"/>
        <v>2.0125381873727086</v>
      </c>
      <c r="L13" s="8">
        <f t="shared" si="5"/>
        <v>1.946141029604306</v>
      </c>
    </row>
    <row r="14" spans="1:12" x14ac:dyDescent="0.25">
      <c r="A14" t="s">
        <v>19</v>
      </c>
      <c r="B14">
        <v>621413</v>
      </c>
      <c r="C14">
        <v>816822</v>
      </c>
      <c r="D14">
        <v>840738</v>
      </c>
      <c r="E14">
        <v>840738</v>
      </c>
      <c r="F14" s="7">
        <v>1269406.6666666667</v>
      </c>
      <c r="G14" s="7">
        <f t="shared" si="0"/>
        <v>1257242</v>
      </c>
      <c r="H14" s="8">
        <f t="shared" si="1"/>
        <v>1.3529456255340651</v>
      </c>
      <c r="I14" s="8">
        <f t="shared" si="2"/>
        <v>1.3529456255340651</v>
      </c>
      <c r="J14" s="8">
        <f t="shared" si="3"/>
        <v>1.3144591439187787</v>
      </c>
      <c r="K14" s="8">
        <f t="shared" si="4"/>
        <v>2.0427745584123067</v>
      </c>
      <c r="L14" s="8">
        <f t="shared" si="5"/>
        <v>2.0231987422213566</v>
      </c>
    </row>
    <row r="15" spans="1:12" x14ac:dyDescent="0.25">
      <c r="A15" t="s">
        <v>20</v>
      </c>
      <c r="B15">
        <v>695818</v>
      </c>
      <c r="C15">
        <v>990347</v>
      </c>
      <c r="D15">
        <v>1087263</v>
      </c>
      <c r="E15">
        <v>1814663</v>
      </c>
      <c r="F15" s="7">
        <v>1396076.6666666667</v>
      </c>
      <c r="G15" s="7">
        <f t="shared" si="0"/>
        <v>1337104.25</v>
      </c>
      <c r="H15" s="8">
        <f t="shared" si="1"/>
        <v>2.6079563908953203</v>
      </c>
      <c r="I15" s="8">
        <f t="shared" si="2"/>
        <v>1.5625680853326589</v>
      </c>
      <c r="J15" s="8">
        <f t="shared" si="3"/>
        <v>1.423284537048481</v>
      </c>
      <c r="K15" s="8">
        <f t="shared" si="4"/>
        <v>2.0063819370390918</v>
      </c>
      <c r="L15" s="8">
        <f t="shared" si="5"/>
        <v>1.9216292909927597</v>
      </c>
    </row>
    <row r="16" spans="1:12" x14ac:dyDescent="0.25">
      <c r="A16" t="s">
        <v>21</v>
      </c>
      <c r="B16">
        <v>505609</v>
      </c>
      <c r="C16">
        <v>850020</v>
      </c>
      <c r="D16">
        <v>956069</v>
      </c>
      <c r="E16">
        <v>1152819</v>
      </c>
      <c r="F16" s="7">
        <v>1177918</v>
      </c>
      <c r="G16" s="7">
        <f t="shared" si="0"/>
        <v>1179980.25</v>
      </c>
      <c r="H16" s="8">
        <f t="shared" si="1"/>
        <v>2.2800602837370381</v>
      </c>
      <c r="I16" s="8">
        <f t="shared" si="2"/>
        <v>1.8909255966567051</v>
      </c>
      <c r="J16" s="8">
        <f t="shared" si="3"/>
        <v>1.6811805169607346</v>
      </c>
      <c r="K16" s="8">
        <f t="shared" si="4"/>
        <v>2.3297014095872504</v>
      </c>
      <c r="L16" s="8">
        <f t="shared" si="5"/>
        <v>2.3337801542298497</v>
      </c>
    </row>
    <row r="17" spans="1:12" x14ac:dyDescent="0.25">
      <c r="A17" t="s">
        <v>22</v>
      </c>
      <c r="B17">
        <v>502055</v>
      </c>
      <c r="C17">
        <v>827703</v>
      </c>
      <c r="D17">
        <v>877305</v>
      </c>
      <c r="E17">
        <v>1220748</v>
      </c>
      <c r="F17" s="7">
        <v>1189034</v>
      </c>
      <c r="G17" s="7">
        <f t="shared" si="0"/>
        <v>1148268.25</v>
      </c>
      <c r="H17" s="8">
        <f t="shared" si="1"/>
        <v>2.431502524623796</v>
      </c>
      <c r="I17" s="8">
        <f t="shared" si="2"/>
        <v>1.7474280706297118</v>
      </c>
      <c r="J17" s="8">
        <f t="shared" si="3"/>
        <v>1.6486301301650217</v>
      </c>
      <c r="K17" s="8">
        <f t="shared" si="4"/>
        <v>2.3683341466572387</v>
      </c>
      <c r="L17" s="8">
        <f t="shared" si="5"/>
        <v>2.2871363695212676</v>
      </c>
    </row>
    <row r="18" spans="1:12" x14ac:dyDescent="0.25">
      <c r="A18" t="s">
        <v>23</v>
      </c>
      <c r="B18">
        <v>595089</v>
      </c>
      <c r="C18">
        <v>899704</v>
      </c>
      <c r="D18">
        <v>941001</v>
      </c>
      <c r="E18">
        <v>1160187</v>
      </c>
      <c r="F18" s="7">
        <v>1124108.3333333333</v>
      </c>
      <c r="H18" s="8">
        <f t="shared" si="1"/>
        <v>1.9496024964333065</v>
      </c>
      <c r="I18" s="8">
        <f t="shared" si="2"/>
        <v>1.5812777584529374</v>
      </c>
      <c r="J18" s="8">
        <f t="shared" si="3"/>
        <v>1.5118814160570939</v>
      </c>
      <c r="K18" s="8">
        <f t="shared" si="4"/>
        <v>1.888975150495696</v>
      </c>
      <c r="L18" s="8"/>
    </row>
    <row r="19" spans="1:12" x14ac:dyDescent="0.25">
      <c r="A19" s="10" t="s">
        <v>24</v>
      </c>
      <c r="B19">
        <v>601905</v>
      </c>
      <c r="C19">
        <v>900802</v>
      </c>
      <c r="D19">
        <v>1010829</v>
      </c>
      <c r="E19">
        <v>1186167</v>
      </c>
      <c r="H19" s="8">
        <f t="shared" si="1"/>
        <v>1.9706880653923793</v>
      </c>
      <c r="I19" s="8">
        <f t="shared" si="2"/>
        <v>1.6793829591048421</v>
      </c>
      <c r="J19" s="8">
        <f t="shared" si="3"/>
        <v>1.496585009262259</v>
      </c>
      <c r="K19" s="8"/>
      <c r="L19" s="8"/>
    </row>
    <row r="20" spans="1:12" x14ac:dyDescent="0.25">
      <c r="A20" s="11" t="s">
        <v>25</v>
      </c>
      <c r="B20">
        <v>551778</v>
      </c>
      <c r="C20">
        <v>817433</v>
      </c>
      <c r="D20">
        <v>865334</v>
      </c>
      <c r="E20">
        <v>1025971</v>
      </c>
      <c r="H20" s="8">
        <f t="shared" si="1"/>
        <v>1.8593909144619756</v>
      </c>
      <c r="I20" s="8">
        <f t="shared" si="2"/>
        <v>1.5682647731515211</v>
      </c>
      <c r="J20" s="8">
        <f t="shared" si="3"/>
        <v>1.4814526856815604</v>
      </c>
      <c r="K20" s="8"/>
      <c r="L20" s="8"/>
    </row>
    <row r="21" spans="1:12" x14ac:dyDescent="0.25">
      <c r="J21" s="8"/>
      <c r="K21" s="8"/>
      <c r="L21" s="8"/>
    </row>
    <row r="22" spans="1:12" x14ac:dyDescent="0.25">
      <c r="A22" t="s">
        <v>26</v>
      </c>
      <c r="B22">
        <f>SUM(B2:B21)</f>
        <v>9731902.6748136804</v>
      </c>
      <c r="C22">
        <f t="shared" ref="C22:F22" si="6">SUM(C2:C21)</f>
        <v>13728243</v>
      </c>
      <c r="D22">
        <f t="shared" si="6"/>
        <v>14808533</v>
      </c>
      <c r="E22">
        <f t="shared" si="6"/>
        <v>18768178</v>
      </c>
      <c r="F22">
        <f t="shared" si="6"/>
        <v>17073450.999999996</v>
      </c>
      <c r="H22" s="8">
        <f t="shared" ref="H22:H23" si="7">E22/B22</f>
        <v>1.9285209302978692</v>
      </c>
      <c r="I22" s="8">
        <f t="shared" ref="I22:I23" si="8">D22/B22</f>
        <v>1.5216482834671909</v>
      </c>
      <c r="J22" s="8">
        <f t="shared" si="3"/>
        <v>1.4106432687134154</v>
      </c>
      <c r="K22" s="8">
        <f t="shared" si="4"/>
        <v>1.7543795463744578</v>
      </c>
      <c r="L22" s="8"/>
    </row>
    <row r="23" spans="1:12" x14ac:dyDescent="0.25">
      <c r="A23" t="s">
        <v>27</v>
      </c>
      <c r="B23">
        <f>AVERAGE(B2:B20)</f>
        <v>512205.40393756214</v>
      </c>
      <c r="C23">
        <f t="shared" ref="C23:E23" si="9">AVERAGE(C2:C20)</f>
        <v>722539.10526315786</v>
      </c>
      <c r="D23">
        <f t="shared" si="9"/>
        <v>779396.47368421056</v>
      </c>
      <c r="E23">
        <f t="shared" si="9"/>
        <v>987798.84210526315</v>
      </c>
      <c r="F23" s="7">
        <f>AVERAGE(F2:F18)</f>
        <v>1004320.6470588233</v>
      </c>
      <c r="H23" s="8">
        <f t="shared" si="7"/>
        <v>1.928520930297869</v>
      </c>
      <c r="I23" s="8">
        <f t="shared" si="8"/>
        <v>1.5216482834671909</v>
      </c>
      <c r="J23" s="8">
        <f t="shared" si="3"/>
        <v>1.4106432687134152</v>
      </c>
      <c r="K23" s="8">
        <f t="shared" si="4"/>
        <v>1.9607771400655702</v>
      </c>
      <c r="L23" s="8"/>
    </row>
    <row r="24" spans="1:12" x14ac:dyDescent="0.25">
      <c r="J24" s="8"/>
      <c r="K24" s="8"/>
      <c r="L24" s="8"/>
    </row>
    <row r="25" spans="1:12" x14ac:dyDescent="0.25">
      <c r="A25" t="s">
        <v>31</v>
      </c>
      <c r="B25">
        <f>SUM(B2:B17)</f>
        <v>7983130.6748136804</v>
      </c>
      <c r="C25">
        <f t="shared" ref="C25:G25" si="10">SUM(C2:C17)</f>
        <v>11110304</v>
      </c>
      <c r="D25">
        <f t="shared" si="10"/>
        <v>11991369</v>
      </c>
      <c r="E25">
        <f t="shared" si="10"/>
        <v>15395853</v>
      </c>
      <c r="F25">
        <f t="shared" si="10"/>
        <v>15949342.666666664</v>
      </c>
      <c r="G25">
        <f t="shared" si="10"/>
        <v>16180414.5</v>
      </c>
      <c r="H25" s="8">
        <f t="shared" ref="H25" si="11">E25/B25</f>
        <v>1.9285482885270855</v>
      </c>
      <c r="I25" s="8">
        <f t="shared" ref="I25" si="12">D25/B25</f>
        <v>1.5020885274785845</v>
      </c>
      <c r="J25" s="8">
        <f t="shared" si="3"/>
        <v>1.3917226778026286</v>
      </c>
      <c r="K25" s="8">
        <f t="shared" si="4"/>
        <v>1.9978806957257917</v>
      </c>
      <c r="L25" s="8">
        <f t="shared" si="5"/>
        <v>2.0268257102502756</v>
      </c>
    </row>
    <row r="26" spans="1:12" x14ac:dyDescent="0.25">
      <c r="A2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1B8C-B89D-4286-A553-49BD915F735F}">
  <dimension ref="A1:L32"/>
  <sheetViews>
    <sheetView workbookViewId="0">
      <selection activeCell="F1" sqref="F1"/>
    </sheetView>
  </sheetViews>
  <sheetFormatPr defaultRowHeight="15" x14ac:dyDescent="0.25"/>
  <cols>
    <col min="2" max="2" width="13.7109375" bestFit="1" customWidth="1"/>
    <col min="3" max="7" width="15.28515625" bestFit="1" customWidth="1"/>
    <col min="8" max="9" width="13.1406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37</v>
      </c>
      <c r="C2">
        <v>69211</v>
      </c>
      <c r="D2">
        <v>69211</v>
      </c>
      <c r="E2">
        <v>69211</v>
      </c>
    </row>
    <row r="3" spans="1:12" x14ac:dyDescent="0.25">
      <c r="A3" t="s">
        <v>38</v>
      </c>
      <c r="C3">
        <v>36689</v>
      </c>
      <c r="D3">
        <v>39005</v>
      </c>
      <c r="E3">
        <v>44408</v>
      </c>
    </row>
    <row r="4" spans="1:12" x14ac:dyDescent="0.25">
      <c r="A4" t="s">
        <v>7</v>
      </c>
      <c r="B4" s="7">
        <v>33063.165604982365</v>
      </c>
      <c r="C4">
        <v>47824</v>
      </c>
      <c r="D4">
        <v>47824</v>
      </c>
      <c r="E4">
        <v>47824</v>
      </c>
      <c r="F4" s="7">
        <v>67665</v>
      </c>
      <c r="G4" s="7">
        <f>AVERAGE(E4:E7)</f>
        <v>69098.5</v>
      </c>
      <c r="H4" s="8">
        <f>E4/B4</f>
        <v>1.4464434703975619</v>
      </c>
      <c r="I4" s="8">
        <f>D4/B4</f>
        <v>1.4464434703975619</v>
      </c>
      <c r="J4" s="8">
        <f>C4/B4</f>
        <v>1.4464434703975619</v>
      </c>
      <c r="K4" s="8">
        <f>F4/B4</f>
        <v>2.0465372495912311</v>
      </c>
      <c r="L4" s="8">
        <f>G4/B4</f>
        <v>2.0898936546350355</v>
      </c>
    </row>
    <row r="5" spans="1:12" x14ac:dyDescent="0.25">
      <c r="A5" s="9" t="s">
        <v>8</v>
      </c>
      <c r="B5" s="14">
        <v>39946</v>
      </c>
      <c r="C5" s="9">
        <v>74568</v>
      </c>
      <c r="D5" s="9">
        <v>80464</v>
      </c>
      <c r="E5" s="9">
        <v>82174</v>
      </c>
      <c r="F5" s="7">
        <v>76190</v>
      </c>
      <c r="G5" s="7">
        <f t="shared" ref="G5:G19" si="0">AVERAGE(E5:E8)</f>
        <v>113207</v>
      </c>
      <c r="H5" s="8">
        <f t="shared" ref="H5:H22" si="1">E5/B5</f>
        <v>2.0571271216141791</v>
      </c>
      <c r="I5" s="8">
        <f t="shared" ref="I5:I25" si="2">D5/B5</f>
        <v>2.0143193310969809</v>
      </c>
      <c r="J5" s="8">
        <f t="shared" ref="J5:J25" si="3">C5/B5</f>
        <v>1.8667200720973314</v>
      </c>
      <c r="K5" s="8">
        <f t="shared" ref="K5:K25" si="4">F5/B5</f>
        <v>1.9073248885996095</v>
      </c>
      <c r="L5" s="8">
        <f t="shared" ref="L5:L19" si="5">G5/B5</f>
        <v>2.8340009012166423</v>
      </c>
    </row>
    <row r="6" spans="1:12" x14ac:dyDescent="0.25">
      <c r="A6" t="s">
        <v>9</v>
      </c>
      <c r="B6">
        <v>45179</v>
      </c>
      <c r="C6">
        <v>70377</v>
      </c>
      <c r="D6">
        <v>72997</v>
      </c>
      <c r="E6">
        <v>72997</v>
      </c>
      <c r="F6" s="7">
        <v>123551.33333333333</v>
      </c>
      <c r="G6" s="7">
        <f t="shared" si="0"/>
        <v>107784.5</v>
      </c>
      <c r="H6" s="8">
        <f t="shared" si="1"/>
        <v>1.6157285464485713</v>
      </c>
      <c r="I6" s="8">
        <f t="shared" si="2"/>
        <v>1.6157285464485713</v>
      </c>
      <c r="J6" s="8">
        <f t="shared" si="3"/>
        <v>1.5577370017043317</v>
      </c>
      <c r="K6" s="8">
        <f t="shared" si="4"/>
        <v>2.7347071279429231</v>
      </c>
      <c r="L6" s="8">
        <f t="shared" si="5"/>
        <v>2.3857212421700349</v>
      </c>
    </row>
    <row r="7" spans="1:12" x14ac:dyDescent="0.25">
      <c r="A7" t="s">
        <v>10</v>
      </c>
      <c r="B7">
        <v>43258</v>
      </c>
      <c r="C7">
        <v>64071</v>
      </c>
      <c r="D7">
        <v>72070</v>
      </c>
      <c r="E7">
        <v>73399</v>
      </c>
      <c r="F7" s="7">
        <v>119380.33333333333</v>
      </c>
      <c r="G7" s="7">
        <f t="shared" si="0"/>
        <v>108056</v>
      </c>
      <c r="H7" s="8">
        <f t="shared" si="1"/>
        <v>1.6967728512645059</v>
      </c>
      <c r="I7" s="8">
        <f t="shared" si="2"/>
        <v>1.6660502103657127</v>
      </c>
      <c r="J7" s="8">
        <f t="shared" si="3"/>
        <v>1.4811364371908087</v>
      </c>
      <c r="K7" s="8">
        <f t="shared" si="4"/>
        <v>2.7597284509994298</v>
      </c>
      <c r="L7" s="8">
        <f t="shared" si="5"/>
        <v>2.4979425770955661</v>
      </c>
    </row>
    <row r="8" spans="1:12" x14ac:dyDescent="0.25">
      <c r="A8" t="s">
        <v>11</v>
      </c>
      <c r="B8">
        <v>48791</v>
      </c>
      <c r="C8">
        <v>71038</v>
      </c>
      <c r="D8">
        <v>93086</v>
      </c>
      <c r="E8">
        <v>224258</v>
      </c>
      <c r="F8" s="7">
        <v>119608.33333333333</v>
      </c>
      <c r="G8" s="7">
        <f t="shared" si="0"/>
        <v>110705.75</v>
      </c>
      <c r="H8" s="8">
        <f t="shared" si="1"/>
        <v>4.5962984976737511</v>
      </c>
      <c r="I8" s="8">
        <f t="shared" si="2"/>
        <v>1.9078518579246173</v>
      </c>
      <c r="J8" s="8">
        <f t="shared" si="3"/>
        <v>1.4559652394908897</v>
      </c>
      <c r="K8" s="8">
        <f t="shared" si="4"/>
        <v>2.4514425474643549</v>
      </c>
      <c r="L8" s="8">
        <f t="shared" si="5"/>
        <v>2.2689789100448854</v>
      </c>
    </row>
    <row r="9" spans="1:12" x14ac:dyDescent="0.25">
      <c r="A9" t="s">
        <v>12</v>
      </c>
      <c r="B9">
        <v>45804</v>
      </c>
      <c r="C9">
        <v>58528</v>
      </c>
      <c r="D9">
        <v>60484</v>
      </c>
      <c r="E9">
        <v>60484</v>
      </c>
      <c r="F9" s="7">
        <v>72855</v>
      </c>
      <c r="G9" s="7">
        <f t="shared" si="0"/>
        <v>96630.25</v>
      </c>
      <c r="H9" s="8">
        <f t="shared" si="1"/>
        <v>1.3204960265478998</v>
      </c>
      <c r="I9" s="8">
        <f t="shared" si="2"/>
        <v>1.3204960265478998</v>
      </c>
      <c r="J9" s="8">
        <f t="shared" si="3"/>
        <v>1.2777923325473757</v>
      </c>
      <c r="K9" s="8">
        <f t="shared" si="4"/>
        <v>1.5905816085931359</v>
      </c>
      <c r="L9" s="8">
        <f t="shared" si="5"/>
        <v>2.1096465374203128</v>
      </c>
    </row>
    <row r="10" spans="1:12" x14ac:dyDescent="0.25">
      <c r="A10" t="s">
        <v>13</v>
      </c>
      <c r="B10">
        <v>39555</v>
      </c>
      <c r="C10">
        <v>68814</v>
      </c>
      <c r="D10">
        <v>74083</v>
      </c>
      <c r="E10">
        <v>74083</v>
      </c>
      <c r="F10" s="7">
        <v>108679</v>
      </c>
      <c r="G10" s="7">
        <f t="shared" si="0"/>
        <v>117741.25</v>
      </c>
      <c r="H10" s="8">
        <f t="shared" si="1"/>
        <v>1.8729111363923652</v>
      </c>
      <c r="I10" s="8">
        <f t="shared" si="2"/>
        <v>1.8729111363923652</v>
      </c>
      <c r="J10" s="8">
        <f t="shared" si="3"/>
        <v>1.7397042093287827</v>
      </c>
      <c r="K10" s="8">
        <f t="shared" si="4"/>
        <v>2.7475413980533436</v>
      </c>
      <c r="L10" s="8">
        <f t="shared" si="5"/>
        <v>2.9766464416635063</v>
      </c>
    </row>
    <row r="11" spans="1:12" x14ac:dyDescent="0.25">
      <c r="A11" t="s">
        <v>14</v>
      </c>
      <c r="B11">
        <v>53052</v>
      </c>
      <c r="C11">
        <v>83998</v>
      </c>
      <c r="D11">
        <v>83998</v>
      </c>
      <c r="E11">
        <v>83998</v>
      </c>
      <c r="F11" s="7">
        <v>132294</v>
      </c>
      <c r="G11" s="7">
        <f t="shared" si="0"/>
        <v>129340.5</v>
      </c>
      <c r="H11" s="8">
        <f t="shared" si="1"/>
        <v>1.5833144839025861</v>
      </c>
      <c r="I11" s="8">
        <f t="shared" si="2"/>
        <v>1.5833144839025861</v>
      </c>
      <c r="J11" s="8">
        <f t="shared" si="3"/>
        <v>1.5833144839025861</v>
      </c>
      <c r="K11" s="8">
        <f t="shared" si="4"/>
        <v>2.4936665912689437</v>
      </c>
      <c r="L11" s="8">
        <f t="shared" si="5"/>
        <v>2.4379947975571139</v>
      </c>
    </row>
    <row r="12" spans="1:12" x14ac:dyDescent="0.25">
      <c r="A12" t="s">
        <v>15</v>
      </c>
      <c r="B12">
        <v>50788</v>
      </c>
      <c r="C12">
        <v>102521</v>
      </c>
      <c r="D12">
        <v>116516</v>
      </c>
      <c r="E12">
        <v>167956</v>
      </c>
      <c r="F12" s="7">
        <v>144454.66666666666</v>
      </c>
      <c r="G12" s="7">
        <f t="shared" si="0"/>
        <v>135628.5</v>
      </c>
      <c r="H12" s="8">
        <f t="shared" si="1"/>
        <v>3.3070016539340004</v>
      </c>
      <c r="I12" s="8">
        <f t="shared" si="2"/>
        <v>2.2941639757423014</v>
      </c>
      <c r="J12" s="8">
        <f t="shared" si="3"/>
        <v>2.0186067575017721</v>
      </c>
      <c r="K12" s="8">
        <f t="shared" si="4"/>
        <v>2.8442676747788189</v>
      </c>
      <c r="L12" s="8">
        <f t="shared" si="5"/>
        <v>2.6704831850043318</v>
      </c>
    </row>
    <row r="13" spans="1:12" x14ac:dyDescent="0.25">
      <c r="A13" t="s">
        <v>16</v>
      </c>
      <c r="B13">
        <v>64884</v>
      </c>
      <c r="C13">
        <v>103345</v>
      </c>
      <c r="D13">
        <v>118757</v>
      </c>
      <c r="E13">
        <v>144928</v>
      </c>
      <c r="F13" s="7">
        <v>124852.66666666667</v>
      </c>
      <c r="G13" s="7">
        <f t="shared" si="0"/>
        <v>110668.25</v>
      </c>
      <c r="H13" s="8">
        <f t="shared" si="1"/>
        <v>2.2336477405831947</v>
      </c>
      <c r="I13" s="8">
        <f t="shared" si="2"/>
        <v>1.8302971456753592</v>
      </c>
      <c r="J13" s="8">
        <f t="shared" si="3"/>
        <v>1.592765550829172</v>
      </c>
      <c r="K13" s="8">
        <f t="shared" si="4"/>
        <v>1.9242442923781931</v>
      </c>
      <c r="L13" s="8">
        <f t="shared" si="5"/>
        <v>1.7056323592873435</v>
      </c>
    </row>
    <row r="14" spans="1:12" x14ac:dyDescent="0.25">
      <c r="A14" t="s">
        <v>17</v>
      </c>
      <c r="B14">
        <v>37983</v>
      </c>
      <c r="C14">
        <v>77397</v>
      </c>
      <c r="D14">
        <v>93701</v>
      </c>
      <c r="E14">
        <v>120480</v>
      </c>
      <c r="F14" s="7">
        <v>99248.333333333328</v>
      </c>
      <c r="G14" s="7">
        <f t="shared" si="0"/>
        <v>118765</v>
      </c>
      <c r="H14" s="8">
        <f t="shared" si="1"/>
        <v>3.1719453439696705</v>
      </c>
      <c r="I14" s="8">
        <f t="shared" si="2"/>
        <v>2.4669194113155886</v>
      </c>
      <c r="J14" s="8">
        <f t="shared" si="3"/>
        <v>2.0376747492299185</v>
      </c>
      <c r="K14" s="8">
        <f t="shared" si="4"/>
        <v>2.612967204626631</v>
      </c>
      <c r="L14" s="8">
        <f t="shared" si="5"/>
        <v>3.1267935655424797</v>
      </c>
    </row>
    <row r="15" spans="1:12" x14ac:dyDescent="0.25">
      <c r="A15" t="s">
        <v>18</v>
      </c>
      <c r="B15">
        <v>33656</v>
      </c>
      <c r="C15">
        <v>68246</v>
      </c>
      <c r="D15">
        <v>70999</v>
      </c>
      <c r="E15">
        <v>109150</v>
      </c>
      <c r="F15" s="7">
        <v>118193.33333333333</v>
      </c>
      <c r="G15" s="7">
        <f t="shared" si="0"/>
        <v>114751.75</v>
      </c>
      <c r="H15" s="8">
        <f t="shared" si="1"/>
        <v>3.2431067268837652</v>
      </c>
      <c r="I15" s="8">
        <f t="shared" si="2"/>
        <v>2.1095495602567151</v>
      </c>
      <c r="J15" s="8">
        <f t="shared" si="3"/>
        <v>2.0277513667696696</v>
      </c>
      <c r="K15" s="8">
        <f t="shared" si="4"/>
        <v>3.511805720624356</v>
      </c>
      <c r="L15" s="8">
        <f t="shared" si="5"/>
        <v>3.4095480746375091</v>
      </c>
    </row>
    <row r="16" spans="1:12" x14ac:dyDescent="0.25">
      <c r="A16" t="s">
        <v>19</v>
      </c>
      <c r="B16">
        <v>41333</v>
      </c>
      <c r="C16">
        <v>60176</v>
      </c>
      <c r="D16">
        <v>66882</v>
      </c>
      <c r="E16">
        <v>68115</v>
      </c>
      <c r="F16" s="7">
        <v>116619</v>
      </c>
      <c r="G16" s="7">
        <f t="shared" si="0"/>
        <v>130024</v>
      </c>
      <c r="H16" s="8">
        <f t="shared" si="1"/>
        <v>1.6479568383615997</v>
      </c>
      <c r="I16" s="8">
        <f t="shared" si="2"/>
        <v>1.6181259526286502</v>
      </c>
      <c r="J16" s="8">
        <f t="shared" si="3"/>
        <v>1.455882708731522</v>
      </c>
      <c r="K16" s="8">
        <f t="shared" si="4"/>
        <v>2.8214501729852661</v>
      </c>
      <c r="L16" s="8">
        <f t="shared" si="5"/>
        <v>3.1457673045750369</v>
      </c>
    </row>
    <row r="17" spans="1:12" x14ac:dyDescent="0.25">
      <c r="A17" t="s">
        <v>20</v>
      </c>
      <c r="B17">
        <v>69741</v>
      </c>
      <c r="C17">
        <v>97851</v>
      </c>
      <c r="D17">
        <v>103567</v>
      </c>
      <c r="E17">
        <v>177315</v>
      </c>
      <c r="F17" s="7">
        <v>150660.33333333334</v>
      </c>
      <c r="G17" s="7">
        <f t="shared" si="0"/>
        <v>154055</v>
      </c>
      <c r="H17" s="8">
        <f t="shared" si="1"/>
        <v>2.5424785993891685</v>
      </c>
      <c r="I17" s="8">
        <f t="shared" si="2"/>
        <v>1.485023157109878</v>
      </c>
      <c r="J17" s="8">
        <f t="shared" si="3"/>
        <v>1.403062760786338</v>
      </c>
      <c r="K17" s="8">
        <f t="shared" si="4"/>
        <v>2.1602835252338415</v>
      </c>
      <c r="L17" s="8">
        <f t="shared" si="5"/>
        <v>2.2089588620753933</v>
      </c>
    </row>
    <row r="18" spans="1:12" x14ac:dyDescent="0.25">
      <c r="A18" t="s">
        <v>21</v>
      </c>
      <c r="B18">
        <v>44521</v>
      </c>
      <c r="C18">
        <v>77946</v>
      </c>
      <c r="D18">
        <v>87638</v>
      </c>
      <c r="E18">
        <v>104427</v>
      </c>
      <c r="F18" s="7">
        <v>146301.66666666666</v>
      </c>
      <c r="G18" s="7">
        <f t="shared" si="0"/>
        <v>155883.25</v>
      </c>
      <c r="H18" s="8">
        <f t="shared" si="1"/>
        <v>2.3455672603939712</v>
      </c>
      <c r="I18" s="8">
        <f t="shared" si="2"/>
        <v>1.9684643202084409</v>
      </c>
      <c r="J18" s="8">
        <f t="shared" si="3"/>
        <v>1.750769299880955</v>
      </c>
      <c r="K18" s="8">
        <f t="shared" si="4"/>
        <v>3.2861271459910304</v>
      </c>
      <c r="L18" s="8">
        <f t="shared" si="5"/>
        <v>3.5013420632959726</v>
      </c>
    </row>
    <row r="19" spans="1:12" x14ac:dyDescent="0.25">
      <c r="A19" t="s">
        <v>22</v>
      </c>
      <c r="B19">
        <v>44509</v>
      </c>
      <c r="C19">
        <v>90427</v>
      </c>
      <c r="D19">
        <v>99706</v>
      </c>
      <c r="E19">
        <v>170239</v>
      </c>
      <c r="F19" s="7">
        <v>173035.33333333334</v>
      </c>
      <c r="G19" s="7">
        <f t="shared" si="0"/>
        <v>163807.5</v>
      </c>
      <c r="H19" s="8">
        <f t="shared" si="1"/>
        <v>3.8248219461232558</v>
      </c>
      <c r="I19" s="8">
        <f t="shared" si="2"/>
        <v>2.2401312094183199</v>
      </c>
      <c r="J19" s="8">
        <f t="shared" si="3"/>
        <v>2.0316565189062885</v>
      </c>
      <c r="K19" s="8">
        <f t="shared" si="4"/>
        <v>3.8876481910025689</v>
      </c>
      <c r="L19" s="8">
        <f t="shared" si="5"/>
        <v>3.6803230807252465</v>
      </c>
    </row>
    <row r="20" spans="1:12" x14ac:dyDescent="0.25">
      <c r="A20" t="s">
        <v>23</v>
      </c>
      <c r="B20">
        <v>80066</v>
      </c>
      <c r="C20">
        <v>140304</v>
      </c>
      <c r="D20">
        <v>150596</v>
      </c>
      <c r="E20">
        <v>164239</v>
      </c>
      <c r="F20" s="7">
        <v>161663.66666666666</v>
      </c>
      <c r="H20" s="8">
        <f t="shared" si="1"/>
        <v>2.0512951814752829</v>
      </c>
      <c r="I20" s="8">
        <f t="shared" si="2"/>
        <v>1.8808982589363774</v>
      </c>
      <c r="J20" s="8">
        <f t="shared" si="3"/>
        <v>1.7523543076961507</v>
      </c>
      <c r="K20" s="8">
        <f t="shared" si="4"/>
        <v>2.0191300510412242</v>
      </c>
      <c r="L20" s="8"/>
    </row>
    <row r="21" spans="1:12" x14ac:dyDescent="0.25">
      <c r="A21" s="10" t="s">
        <v>24</v>
      </c>
      <c r="B21">
        <v>88454</v>
      </c>
      <c r="C21">
        <v>163740</v>
      </c>
      <c r="D21">
        <v>181069</v>
      </c>
      <c r="E21">
        <v>184628</v>
      </c>
      <c r="H21" s="8">
        <f t="shared" si="1"/>
        <v>2.0872770027358851</v>
      </c>
      <c r="I21" s="8">
        <f t="shared" si="2"/>
        <v>2.0470414000497432</v>
      </c>
      <c r="J21" s="8">
        <f t="shared" si="3"/>
        <v>1.8511316616546454</v>
      </c>
      <c r="K21" s="8"/>
      <c r="L21" s="8"/>
    </row>
    <row r="22" spans="1:12" x14ac:dyDescent="0.25">
      <c r="A22" s="11" t="s">
        <v>25</v>
      </c>
      <c r="B22">
        <v>71960</v>
      </c>
      <c r="C22">
        <v>133980</v>
      </c>
      <c r="D22">
        <v>136124</v>
      </c>
      <c r="E22">
        <v>136124</v>
      </c>
      <c r="H22" s="8">
        <f t="shared" si="1"/>
        <v>1.8916620344635908</v>
      </c>
      <c r="I22" s="8">
        <f t="shared" si="2"/>
        <v>1.8916620344635908</v>
      </c>
      <c r="J22" s="8">
        <f t="shared" si="3"/>
        <v>1.8618677042801557</v>
      </c>
      <c r="K22" s="8"/>
      <c r="L22" s="8"/>
    </row>
    <row r="23" spans="1:12" x14ac:dyDescent="0.25">
      <c r="I23" s="8"/>
      <c r="J23" s="8"/>
      <c r="K23" s="8"/>
      <c r="L23" s="8"/>
    </row>
    <row r="24" spans="1:12" x14ac:dyDescent="0.25">
      <c r="A24" t="s">
        <v>26</v>
      </c>
      <c r="B24">
        <f>SUM(B4:B23)</f>
        <v>976543.16560498229</v>
      </c>
      <c r="C24">
        <f t="shared" ref="C24:F24" si="6">SUM(C4:C23)</f>
        <v>1655151</v>
      </c>
      <c r="D24">
        <f t="shared" si="6"/>
        <v>1810561</v>
      </c>
      <c r="E24">
        <f t="shared" si="6"/>
        <v>2266818</v>
      </c>
      <c r="F24">
        <f t="shared" si="6"/>
        <v>2055251.9999999998</v>
      </c>
      <c r="H24" s="8">
        <f t="shared" ref="H24:H25" si="7">E24/B24</f>
        <v>2.3212675894318244</v>
      </c>
      <c r="I24" s="8">
        <f t="shared" si="2"/>
        <v>1.8540511712847141</v>
      </c>
      <c r="J24" s="8">
        <f t="shared" si="3"/>
        <v>1.6949081805048634</v>
      </c>
      <c r="K24" s="8">
        <f t="shared" si="4"/>
        <v>2.1046197161461286</v>
      </c>
      <c r="L24" s="8"/>
    </row>
    <row r="25" spans="1:12" x14ac:dyDescent="0.25">
      <c r="A25" t="s">
        <v>27</v>
      </c>
      <c r="B25">
        <f>AVERAGE(B4:B22)</f>
        <v>51397.0087160517</v>
      </c>
      <c r="C25">
        <f t="shared" ref="C25:E25" si="8">AVERAGE(C4:C22)</f>
        <v>87113.210526315786</v>
      </c>
      <c r="D25">
        <f t="shared" si="8"/>
        <v>95292.68421052632</v>
      </c>
      <c r="E25">
        <f t="shared" si="8"/>
        <v>119306.21052631579</v>
      </c>
      <c r="F25" s="7">
        <f>AVERAGE(F4:F20)</f>
        <v>120897.17647058822</v>
      </c>
      <c r="H25" s="8">
        <f t="shared" si="7"/>
        <v>2.321267589431824</v>
      </c>
      <c r="I25" s="8">
        <f t="shared" si="2"/>
        <v>1.8540511712847143</v>
      </c>
      <c r="J25" s="8">
        <f t="shared" si="3"/>
        <v>1.6949081805048634</v>
      </c>
      <c r="K25" s="8">
        <f t="shared" si="4"/>
        <v>2.3522220356927321</v>
      </c>
      <c r="L25" s="8"/>
    </row>
    <row r="26" spans="1:12" x14ac:dyDescent="0.25">
      <c r="I26" s="8"/>
      <c r="J26" s="8"/>
      <c r="K26" s="8"/>
      <c r="L26" s="8"/>
    </row>
    <row r="27" spans="1:12" x14ac:dyDescent="0.25">
      <c r="A27" t="s">
        <v>31</v>
      </c>
      <c r="B27" s="12">
        <f>SUM(B4:B19)</f>
        <v>736063.16560498229</v>
      </c>
      <c r="C27" s="12">
        <f t="shared" ref="C27:G27" si="9">SUM(C4:C19)</f>
        <v>1217127</v>
      </c>
      <c r="D27" s="12">
        <f t="shared" si="9"/>
        <v>1342772</v>
      </c>
      <c r="E27" s="12">
        <f t="shared" si="9"/>
        <v>1781827</v>
      </c>
      <c r="F27" s="12">
        <f t="shared" si="9"/>
        <v>1893588.333333333</v>
      </c>
      <c r="G27" s="12">
        <f t="shared" si="9"/>
        <v>1936147</v>
      </c>
      <c r="H27" s="8">
        <f t="shared" ref="H27" si="10">E27/B27</f>
        <v>2.420752841959545</v>
      </c>
      <c r="I27" s="8">
        <f t="shared" ref="I27" si="11">D27/B27</f>
        <v>1.8242619149354578</v>
      </c>
      <c r="J27" s="8">
        <f t="shared" ref="J27" si="12">C27/B27</f>
        <v>1.6535632495610937</v>
      </c>
      <c r="K27" s="8">
        <f t="shared" ref="K27" si="13">F27/B27</f>
        <v>2.5725894485929914</v>
      </c>
      <c r="L27" s="8">
        <f t="shared" ref="L27" si="14">G27/B27</f>
        <v>2.6304087617380625</v>
      </c>
    </row>
    <row r="28" spans="1:12" x14ac:dyDescent="0.25">
      <c r="A28" t="s">
        <v>32</v>
      </c>
    </row>
    <row r="31" spans="1:12" x14ac:dyDescent="0.25">
      <c r="A31" t="s">
        <v>39</v>
      </c>
      <c r="B31">
        <f>SUM(B2:B8)</f>
        <v>210237.16560498235</v>
      </c>
      <c r="C31">
        <f t="shared" ref="C31:E31" si="15">SUM(C2:C8)</f>
        <v>433778</v>
      </c>
      <c r="D31">
        <f t="shared" si="15"/>
        <v>474657</v>
      </c>
      <c r="E31">
        <f t="shared" si="15"/>
        <v>614271</v>
      </c>
    </row>
    <row r="32" spans="1:12" x14ac:dyDescent="0.25">
      <c r="A32" t="s">
        <v>40</v>
      </c>
      <c r="B32" s="7">
        <f>AVERAGE(B2:B8)</f>
        <v>42047.433120996473</v>
      </c>
      <c r="C32" s="7">
        <f t="shared" ref="C32:E32" si="16">AVERAGE(C2:C8)</f>
        <v>61968.285714285717</v>
      </c>
      <c r="D32" s="7">
        <f t="shared" si="16"/>
        <v>67808.142857142855</v>
      </c>
      <c r="E32" s="7">
        <f t="shared" si="16"/>
        <v>87753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E35D-1523-46EF-84D7-1DFB2EBDF04C}">
  <dimension ref="A1:Q32"/>
  <sheetViews>
    <sheetView workbookViewId="0">
      <selection activeCell="F1" sqref="F1"/>
    </sheetView>
  </sheetViews>
  <sheetFormatPr defaultRowHeight="15" x14ac:dyDescent="0.25"/>
  <cols>
    <col min="8" max="9" width="12.5703125" customWidth="1"/>
  </cols>
  <sheetData>
    <row r="1" spans="1:1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M1" t="s">
        <v>5</v>
      </c>
      <c r="N1" t="s">
        <v>4</v>
      </c>
      <c r="O1" t="s">
        <v>34</v>
      </c>
      <c r="P1" t="s">
        <v>35</v>
      </c>
      <c r="Q1" t="s">
        <v>36</v>
      </c>
    </row>
    <row r="2" spans="1:17" x14ac:dyDescent="0.25">
      <c r="A2" t="s">
        <v>37</v>
      </c>
      <c r="C2">
        <v>209939</v>
      </c>
      <c r="D2">
        <v>228179</v>
      </c>
      <c r="E2">
        <v>434020</v>
      </c>
    </row>
    <row r="3" spans="1:17" x14ac:dyDescent="0.25">
      <c r="A3" t="s">
        <v>38</v>
      </c>
      <c r="C3">
        <v>192212</v>
      </c>
      <c r="D3">
        <v>199096</v>
      </c>
      <c r="E3">
        <v>206187</v>
      </c>
    </row>
    <row r="4" spans="1:17" x14ac:dyDescent="0.25">
      <c r="A4" t="s">
        <v>7</v>
      </c>
      <c r="B4" s="7">
        <v>166781.30148993956</v>
      </c>
      <c r="C4">
        <v>283913</v>
      </c>
      <c r="D4">
        <v>323588</v>
      </c>
      <c r="E4">
        <v>401852</v>
      </c>
      <c r="F4" s="7">
        <v>358709</v>
      </c>
      <c r="G4" s="7">
        <f>AVERAGE(E4:E7)</f>
        <v>424404</v>
      </c>
      <c r="H4" s="7"/>
      <c r="I4" s="7"/>
      <c r="J4" s="7"/>
      <c r="K4" s="7"/>
      <c r="L4" s="7"/>
      <c r="M4" s="8">
        <f>E4/B4</f>
        <v>2.4094547554795294</v>
      </c>
      <c r="N4" s="8">
        <f>D4/B4</f>
        <v>1.9401935175539999</v>
      </c>
      <c r="O4" s="8">
        <f>C4/B4</f>
        <v>1.7023071379325214</v>
      </c>
      <c r="P4" s="8">
        <f>F4/B4</f>
        <v>2.1507746779493608</v>
      </c>
      <c r="Q4" s="8">
        <f>G4/B4</f>
        <v>2.544673750645845</v>
      </c>
    </row>
    <row r="5" spans="1:17" x14ac:dyDescent="0.25">
      <c r="A5" s="9" t="s">
        <v>8</v>
      </c>
      <c r="B5" s="14">
        <v>147904</v>
      </c>
      <c r="C5" s="9">
        <v>231316</v>
      </c>
      <c r="D5" s="9">
        <v>260028</v>
      </c>
      <c r="E5" s="9">
        <v>313409</v>
      </c>
      <c r="F5" s="7">
        <v>431921.33333333331</v>
      </c>
      <c r="G5" s="7">
        <f t="shared" ref="G5:G19" si="0">AVERAGE(E5:E8)</f>
        <v>436833.5</v>
      </c>
      <c r="H5" s="7"/>
      <c r="I5" s="7"/>
      <c r="J5" s="7"/>
      <c r="K5" s="7"/>
      <c r="L5" s="7"/>
      <c r="M5" s="8">
        <f t="shared" ref="M5:M22" si="1">E5/B5</f>
        <v>2.1190028667243617</v>
      </c>
      <c r="N5" s="8">
        <f t="shared" ref="N5:N25" si="2">D5/B5</f>
        <v>1.7580863262656858</v>
      </c>
      <c r="O5" s="8">
        <f t="shared" ref="O5:O25" si="3">C5/B5</f>
        <v>1.5639604067503245</v>
      </c>
      <c r="P5" s="8">
        <f t="shared" ref="P5:P25" si="4">F5/B5</f>
        <v>2.9202816241165439</v>
      </c>
      <c r="Q5" s="8">
        <f t="shared" ref="Q5:Q19" si="5">G5/B5</f>
        <v>2.9534934822587626</v>
      </c>
    </row>
    <row r="6" spans="1:17" x14ac:dyDescent="0.25">
      <c r="A6" t="s">
        <v>9</v>
      </c>
      <c r="B6">
        <v>186789</v>
      </c>
      <c r="C6">
        <v>281401</v>
      </c>
      <c r="D6">
        <v>327852</v>
      </c>
      <c r="E6">
        <v>360866</v>
      </c>
      <c r="F6" s="7">
        <v>477975</v>
      </c>
      <c r="G6" s="7">
        <f t="shared" si="0"/>
        <v>518418.25</v>
      </c>
      <c r="H6" s="7"/>
      <c r="I6" s="7"/>
      <c r="J6" s="7"/>
      <c r="K6" s="7"/>
      <c r="L6" s="7"/>
      <c r="M6" s="8">
        <f t="shared" si="1"/>
        <v>1.9319446005921119</v>
      </c>
      <c r="N6" s="8">
        <f t="shared" si="2"/>
        <v>1.7551997173281082</v>
      </c>
      <c r="O6" s="8">
        <f t="shared" si="3"/>
        <v>1.5065180497780919</v>
      </c>
      <c r="P6" s="8">
        <f t="shared" si="4"/>
        <v>2.5589033615469861</v>
      </c>
      <c r="Q6" s="8">
        <f t="shared" si="5"/>
        <v>2.775421732543137</v>
      </c>
    </row>
    <row r="7" spans="1:17" x14ac:dyDescent="0.25">
      <c r="A7" t="s">
        <v>10</v>
      </c>
      <c r="B7">
        <v>149877</v>
      </c>
      <c r="C7">
        <v>259459</v>
      </c>
      <c r="D7">
        <v>321333</v>
      </c>
      <c r="E7">
        <v>621489</v>
      </c>
      <c r="F7" s="7">
        <v>570935.66666666663</v>
      </c>
      <c r="G7" s="7">
        <f t="shared" si="0"/>
        <v>609885.5</v>
      </c>
      <c r="H7" s="7"/>
      <c r="I7" s="7"/>
      <c r="J7" s="7"/>
      <c r="K7" s="7"/>
      <c r="L7" s="7"/>
      <c r="M7" s="8">
        <f t="shared" si="1"/>
        <v>4.1466602614143602</v>
      </c>
      <c r="N7" s="8">
        <f t="shared" si="2"/>
        <v>2.1439780620108491</v>
      </c>
      <c r="O7" s="8">
        <f t="shared" si="3"/>
        <v>1.7311462065560426</v>
      </c>
      <c r="P7" s="8">
        <f t="shared" si="4"/>
        <v>3.809361454170197</v>
      </c>
      <c r="Q7" s="8">
        <f t="shared" si="5"/>
        <v>4.069240110223717</v>
      </c>
    </row>
    <row r="8" spans="1:17" x14ac:dyDescent="0.25">
      <c r="A8" t="s">
        <v>11</v>
      </c>
      <c r="B8">
        <v>210378</v>
      </c>
      <c r="C8">
        <v>354227</v>
      </c>
      <c r="D8">
        <v>397932</v>
      </c>
      <c r="E8">
        <v>451570</v>
      </c>
      <c r="F8" s="7">
        <v>606017.66666666663</v>
      </c>
      <c r="G8" s="7">
        <f t="shared" si="0"/>
        <v>627338</v>
      </c>
      <c r="H8" s="7"/>
      <c r="I8" s="7"/>
      <c r="J8" s="7"/>
      <c r="K8" s="7"/>
      <c r="L8" s="7"/>
      <c r="M8" s="8">
        <f t="shared" si="1"/>
        <v>2.1464696878951219</v>
      </c>
      <c r="N8" s="8">
        <f t="shared" si="2"/>
        <v>1.8915095684910019</v>
      </c>
      <c r="O8" s="8">
        <f t="shared" si="3"/>
        <v>1.6837644620635237</v>
      </c>
      <c r="P8" s="8">
        <f t="shared" si="4"/>
        <v>2.8806133087426757</v>
      </c>
      <c r="Q8" s="8">
        <f t="shared" si="5"/>
        <v>2.9819562882050406</v>
      </c>
    </row>
    <row r="9" spans="1:17" x14ac:dyDescent="0.25">
      <c r="A9" t="s">
        <v>12</v>
      </c>
      <c r="B9">
        <v>181623</v>
      </c>
      <c r="C9">
        <v>304047</v>
      </c>
      <c r="D9">
        <v>420636</v>
      </c>
      <c r="E9">
        <v>639748</v>
      </c>
      <c r="F9" s="7">
        <v>685927.33333333337</v>
      </c>
      <c r="G9" s="7">
        <f t="shared" si="0"/>
        <v>717703</v>
      </c>
      <c r="H9" s="7"/>
      <c r="I9" s="7"/>
      <c r="J9" s="7"/>
      <c r="K9" s="7"/>
      <c r="L9" s="7"/>
      <c r="M9" s="8">
        <f t="shared" si="1"/>
        <v>3.522395291345259</v>
      </c>
      <c r="N9" s="8">
        <f t="shared" si="2"/>
        <v>2.3159842090484135</v>
      </c>
      <c r="O9" s="8">
        <f t="shared" si="3"/>
        <v>1.6740555986851886</v>
      </c>
      <c r="P9" s="8">
        <f t="shared" si="4"/>
        <v>3.7766545720163931</v>
      </c>
      <c r="Q9" s="8">
        <f t="shared" si="5"/>
        <v>3.9516085517803363</v>
      </c>
    </row>
    <row r="10" spans="1:17" x14ac:dyDescent="0.25">
      <c r="A10" t="s">
        <v>13</v>
      </c>
      <c r="B10">
        <v>192255</v>
      </c>
      <c r="C10">
        <v>302340</v>
      </c>
      <c r="D10">
        <v>381072</v>
      </c>
      <c r="E10">
        <v>726735</v>
      </c>
      <c r="F10" s="7">
        <v>743688</v>
      </c>
      <c r="G10" s="7">
        <f t="shared" si="0"/>
        <v>752564.25</v>
      </c>
      <c r="H10" s="7"/>
      <c r="I10" s="7"/>
      <c r="J10" s="7"/>
      <c r="K10" s="7"/>
      <c r="L10" s="7"/>
      <c r="M10" s="8">
        <f t="shared" si="1"/>
        <v>3.7800577358196148</v>
      </c>
      <c r="N10" s="8">
        <f t="shared" si="2"/>
        <v>1.9821175001950535</v>
      </c>
      <c r="O10" s="8">
        <f t="shared" si="3"/>
        <v>1.5725988920964344</v>
      </c>
      <c r="P10" s="8">
        <f t="shared" si="4"/>
        <v>3.8682374970741984</v>
      </c>
      <c r="Q10" s="8">
        <f t="shared" si="5"/>
        <v>3.9144066474213934</v>
      </c>
    </row>
    <row r="11" spans="1:17" x14ac:dyDescent="0.25">
      <c r="A11" t="s">
        <v>14</v>
      </c>
      <c r="B11">
        <v>227429</v>
      </c>
      <c r="C11">
        <v>367838</v>
      </c>
      <c r="D11">
        <v>425471</v>
      </c>
      <c r="E11">
        <v>691299</v>
      </c>
      <c r="F11" s="7">
        <v>761174</v>
      </c>
      <c r="G11" s="7">
        <f t="shared" si="0"/>
        <v>723071.25</v>
      </c>
      <c r="H11" s="7"/>
      <c r="I11" s="7"/>
      <c r="J11" s="7"/>
      <c r="K11" s="7"/>
      <c r="L11" s="7"/>
      <c r="M11" s="8">
        <f t="shared" si="1"/>
        <v>3.0396255534694343</v>
      </c>
      <c r="N11" s="8">
        <f t="shared" si="2"/>
        <v>1.8707860475137295</v>
      </c>
      <c r="O11" s="8">
        <f t="shared" si="3"/>
        <v>1.6173750928861315</v>
      </c>
      <c r="P11" s="8">
        <f t="shared" si="4"/>
        <v>3.3468642961099948</v>
      </c>
      <c r="Q11" s="8">
        <f t="shared" si="5"/>
        <v>3.1793273944835532</v>
      </c>
    </row>
    <row r="12" spans="1:17" x14ac:dyDescent="0.25">
      <c r="A12" t="s">
        <v>15</v>
      </c>
      <c r="B12">
        <v>273485</v>
      </c>
      <c r="C12">
        <v>429385</v>
      </c>
      <c r="D12">
        <v>486115</v>
      </c>
      <c r="E12">
        <v>813030</v>
      </c>
      <c r="F12" s="7">
        <v>733662</v>
      </c>
      <c r="G12" s="7">
        <f t="shared" si="0"/>
        <v>741146.5</v>
      </c>
      <c r="H12" s="7"/>
      <c r="I12" s="7"/>
      <c r="J12" s="7"/>
      <c r="K12" s="7"/>
      <c r="L12" s="7"/>
      <c r="M12" s="8">
        <f t="shared" si="1"/>
        <v>2.9728504305537782</v>
      </c>
      <c r="N12" s="8">
        <f t="shared" si="2"/>
        <v>1.777483225771066</v>
      </c>
      <c r="O12" s="8">
        <f t="shared" si="3"/>
        <v>1.5700495456789221</v>
      </c>
      <c r="P12" s="8">
        <f t="shared" si="4"/>
        <v>2.6826407298389308</v>
      </c>
      <c r="Q12" s="8">
        <f t="shared" si="5"/>
        <v>2.7100078614914893</v>
      </c>
    </row>
    <row r="13" spans="1:17" x14ac:dyDescent="0.25">
      <c r="A13" t="s">
        <v>16</v>
      </c>
      <c r="B13">
        <v>264215</v>
      </c>
      <c r="C13">
        <v>379575</v>
      </c>
      <c r="D13">
        <v>430398</v>
      </c>
      <c r="E13">
        <v>779193</v>
      </c>
      <c r="F13" s="7">
        <v>717185.33333333337</v>
      </c>
      <c r="G13" s="7">
        <f t="shared" si="0"/>
        <v>697890.75</v>
      </c>
      <c r="H13" s="7"/>
      <c r="I13" s="7"/>
      <c r="J13" s="7"/>
      <c r="K13" s="7"/>
      <c r="L13" s="7"/>
      <c r="M13" s="8">
        <f t="shared" si="1"/>
        <v>2.9490869178509924</v>
      </c>
      <c r="N13" s="8">
        <f t="shared" si="2"/>
        <v>1.6289688322010485</v>
      </c>
      <c r="O13" s="8">
        <f t="shared" si="3"/>
        <v>1.4366141210756391</v>
      </c>
      <c r="P13" s="8">
        <f t="shared" si="4"/>
        <v>2.7144005197787155</v>
      </c>
      <c r="Q13" s="8">
        <f t="shared" si="5"/>
        <v>2.6413744488390138</v>
      </c>
    </row>
    <row r="14" spans="1:17" x14ac:dyDescent="0.25">
      <c r="A14" t="s">
        <v>17</v>
      </c>
      <c r="B14">
        <v>267834</v>
      </c>
      <c r="C14">
        <v>433739</v>
      </c>
      <c r="D14">
        <v>487190</v>
      </c>
      <c r="E14">
        <v>608763</v>
      </c>
      <c r="F14" s="7">
        <v>670790</v>
      </c>
      <c r="G14" s="7">
        <f t="shared" si="0"/>
        <v>727724</v>
      </c>
      <c r="H14" s="7"/>
      <c r="I14" s="7"/>
      <c r="J14" s="7"/>
      <c r="K14" s="7"/>
      <c r="L14" s="7"/>
      <c r="M14" s="8">
        <f t="shared" si="1"/>
        <v>2.272911579560474</v>
      </c>
      <c r="N14" s="8">
        <f t="shared" si="2"/>
        <v>1.8189998282518276</v>
      </c>
      <c r="O14" s="8">
        <f t="shared" si="3"/>
        <v>1.6194321856075031</v>
      </c>
      <c r="P14" s="8">
        <f t="shared" si="4"/>
        <v>2.5044990553850521</v>
      </c>
      <c r="Q14" s="8">
        <f t="shared" si="5"/>
        <v>2.717071021602933</v>
      </c>
    </row>
    <row r="15" spans="1:17" x14ac:dyDescent="0.25">
      <c r="A15" t="s">
        <v>18</v>
      </c>
      <c r="B15">
        <v>284732</v>
      </c>
      <c r="C15">
        <v>446311</v>
      </c>
      <c r="D15">
        <v>487538</v>
      </c>
      <c r="E15">
        <v>763600</v>
      </c>
      <c r="F15" s="7">
        <v>767377.66666666663</v>
      </c>
      <c r="G15" s="7">
        <f t="shared" si="0"/>
        <v>755908</v>
      </c>
      <c r="H15" s="7"/>
      <c r="I15" s="7"/>
      <c r="J15" s="7"/>
      <c r="K15" s="7"/>
      <c r="L15" s="7"/>
      <c r="M15" s="8">
        <f t="shared" si="1"/>
        <v>2.6818200974951885</v>
      </c>
      <c r="N15" s="8">
        <f t="shared" si="2"/>
        <v>1.712269783515727</v>
      </c>
      <c r="O15" s="8">
        <f t="shared" si="3"/>
        <v>1.5674774876023769</v>
      </c>
      <c r="P15" s="8">
        <f t="shared" si="4"/>
        <v>2.6950875443106734</v>
      </c>
      <c r="Q15" s="8">
        <f t="shared" si="5"/>
        <v>2.654805220347555</v>
      </c>
    </row>
    <row r="16" spans="1:17" x14ac:dyDescent="0.25">
      <c r="A16" t="s">
        <v>19</v>
      </c>
      <c r="B16">
        <v>309492</v>
      </c>
      <c r="C16">
        <v>483061</v>
      </c>
      <c r="D16">
        <v>534271</v>
      </c>
      <c r="E16">
        <v>640007</v>
      </c>
      <c r="F16" s="7">
        <v>753344</v>
      </c>
      <c r="G16" s="7">
        <f t="shared" si="0"/>
        <v>751303.5</v>
      </c>
      <c r="H16" s="7"/>
      <c r="I16" s="7"/>
      <c r="J16" s="7"/>
      <c r="K16" s="7"/>
      <c r="L16" s="7"/>
      <c r="M16" s="8">
        <f t="shared" si="1"/>
        <v>2.0679274423894642</v>
      </c>
      <c r="N16" s="8">
        <f t="shared" si="2"/>
        <v>1.7262837165419462</v>
      </c>
      <c r="O16" s="8">
        <f t="shared" si="3"/>
        <v>1.560819019554625</v>
      </c>
      <c r="P16" s="8">
        <f t="shared" si="4"/>
        <v>2.4341307691313507</v>
      </c>
      <c r="Q16" s="8">
        <f t="shared" si="5"/>
        <v>2.4275377069520374</v>
      </c>
    </row>
    <row r="17" spans="1:17" x14ac:dyDescent="0.25">
      <c r="A17" t="s">
        <v>20</v>
      </c>
      <c r="B17">
        <v>362810</v>
      </c>
      <c r="C17">
        <v>622049</v>
      </c>
      <c r="D17">
        <v>710913</v>
      </c>
      <c r="E17">
        <v>898526</v>
      </c>
      <c r="F17" s="7">
        <v>788402.33333333337</v>
      </c>
      <c r="G17" s="7">
        <f t="shared" si="0"/>
        <v>876024</v>
      </c>
      <c r="H17" s="7"/>
      <c r="I17" s="7"/>
      <c r="J17" s="7"/>
      <c r="K17" s="7"/>
      <c r="L17" s="7"/>
      <c r="M17" s="8">
        <f t="shared" si="1"/>
        <v>2.4765745155866705</v>
      </c>
      <c r="N17" s="8">
        <f t="shared" si="2"/>
        <v>1.9594636311016786</v>
      </c>
      <c r="O17" s="8">
        <f t="shared" si="3"/>
        <v>1.7145310217469198</v>
      </c>
      <c r="P17" s="8">
        <f t="shared" si="4"/>
        <v>2.1730446606580123</v>
      </c>
      <c r="Q17" s="8">
        <f t="shared" si="5"/>
        <v>2.4145530718557922</v>
      </c>
    </row>
    <row r="18" spans="1:17" x14ac:dyDescent="0.25">
      <c r="A18" t="s">
        <v>21</v>
      </c>
      <c r="B18">
        <v>432365</v>
      </c>
      <c r="C18">
        <v>537312</v>
      </c>
      <c r="D18">
        <v>582696</v>
      </c>
      <c r="E18">
        <v>721499</v>
      </c>
      <c r="F18" s="7">
        <v>868523.33333333337</v>
      </c>
      <c r="G18" s="7">
        <f t="shared" si="0"/>
        <v>913795</v>
      </c>
      <c r="H18" s="7"/>
      <c r="I18" s="7"/>
      <c r="J18" s="7"/>
      <c r="K18" s="7"/>
      <c r="L18" s="7"/>
      <c r="M18" s="8">
        <f t="shared" si="1"/>
        <v>1.668726654562696</v>
      </c>
      <c r="N18" s="8">
        <f t="shared" si="2"/>
        <v>1.347694656135441</v>
      </c>
      <c r="O18" s="8">
        <f t="shared" si="3"/>
        <v>1.2427277878644201</v>
      </c>
      <c r="P18" s="8">
        <f t="shared" si="4"/>
        <v>2.0087734514434179</v>
      </c>
      <c r="Q18" s="8">
        <f t="shared" si="5"/>
        <v>2.1134805083667736</v>
      </c>
    </row>
    <row r="19" spans="1:17" x14ac:dyDescent="0.25">
      <c r="A19" t="s">
        <v>22</v>
      </c>
      <c r="B19">
        <v>480563</v>
      </c>
      <c r="C19">
        <v>523991</v>
      </c>
      <c r="D19">
        <v>580257</v>
      </c>
      <c r="E19">
        <v>745182</v>
      </c>
      <c r="F19" s="7">
        <v>977893.66666666663</v>
      </c>
      <c r="G19" s="7">
        <f t="shared" si="0"/>
        <v>934390.75</v>
      </c>
      <c r="H19" s="7"/>
      <c r="I19" s="7"/>
      <c r="J19" s="7"/>
      <c r="K19" s="7"/>
      <c r="L19" s="7"/>
      <c r="M19" s="8">
        <f t="shared" si="1"/>
        <v>1.5506437241319035</v>
      </c>
      <c r="N19" s="8">
        <f t="shared" si="2"/>
        <v>1.2074525088281869</v>
      </c>
      <c r="O19" s="8">
        <f t="shared" si="3"/>
        <v>1.090369004688251</v>
      </c>
      <c r="P19" s="8">
        <f t="shared" si="4"/>
        <v>2.0348917138162252</v>
      </c>
      <c r="Q19" s="8">
        <f t="shared" si="5"/>
        <v>1.9443668155892151</v>
      </c>
    </row>
    <row r="20" spans="1:17" x14ac:dyDescent="0.25">
      <c r="A20" t="s">
        <v>23</v>
      </c>
      <c r="B20">
        <v>512998</v>
      </c>
      <c r="C20">
        <v>672081</v>
      </c>
      <c r="D20">
        <v>733804</v>
      </c>
      <c r="E20">
        <v>1138889</v>
      </c>
      <c r="F20" s="7">
        <v>997460.33333333337</v>
      </c>
      <c r="M20" s="8">
        <f t="shared" si="1"/>
        <v>2.2200651854393194</v>
      </c>
      <c r="N20" s="8">
        <f t="shared" si="2"/>
        <v>1.4304227306929072</v>
      </c>
      <c r="O20" s="8">
        <f t="shared" si="3"/>
        <v>1.3101045228246504</v>
      </c>
      <c r="P20" s="8">
        <f t="shared" si="4"/>
        <v>1.944374701915667</v>
      </c>
      <c r="Q20" s="8"/>
    </row>
    <row r="21" spans="1:17" x14ac:dyDescent="0.25">
      <c r="A21" s="10" t="s">
        <v>24</v>
      </c>
      <c r="B21">
        <v>498842</v>
      </c>
      <c r="C21">
        <v>597847</v>
      </c>
      <c r="D21">
        <v>651262</v>
      </c>
      <c r="E21">
        <v>1049610</v>
      </c>
      <c r="M21" s="8">
        <f t="shared" si="1"/>
        <v>2.1040930795722894</v>
      </c>
      <c r="N21" s="8">
        <f t="shared" si="2"/>
        <v>1.3055476483535868</v>
      </c>
      <c r="O21" s="8">
        <f t="shared" si="3"/>
        <v>1.1984696557226537</v>
      </c>
      <c r="P21" s="8"/>
      <c r="Q21" s="8"/>
    </row>
    <row r="22" spans="1:17" x14ac:dyDescent="0.25">
      <c r="A22" s="11" t="s">
        <v>25</v>
      </c>
      <c r="B22">
        <v>473655</v>
      </c>
      <c r="C22">
        <v>601286</v>
      </c>
      <c r="D22">
        <v>622255</v>
      </c>
      <c r="E22">
        <v>803882</v>
      </c>
      <c r="M22" s="8">
        <f t="shared" si="1"/>
        <v>1.6971888822032914</v>
      </c>
      <c r="N22" s="8">
        <f t="shared" si="2"/>
        <v>1.3137304578226769</v>
      </c>
      <c r="O22" s="8">
        <f t="shared" si="3"/>
        <v>1.2694598389122884</v>
      </c>
      <c r="P22" s="8"/>
      <c r="Q22" s="8"/>
    </row>
    <row r="23" spans="1:17" x14ac:dyDescent="0.25">
      <c r="N23" s="8"/>
      <c r="O23" s="8"/>
      <c r="P23" s="8"/>
      <c r="Q23" s="8"/>
    </row>
    <row r="24" spans="1:17" x14ac:dyDescent="0.25">
      <c r="A24" t="s">
        <v>26</v>
      </c>
      <c r="B24">
        <f>SUM(B4:B23)</f>
        <v>5624027.3014899399</v>
      </c>
      <c r="C24">
        <f t="shared" ref="C24:E24" si="6">SUM(C4:C23)</f>
        <v>8111178</v>
      </c>
      <c r="D24">
        <f t="shared" si="6"/>
        <v>9164611</v>
      </c>
      <c r="E24">
        <f t="shared" si="6"/>
        <v>13169149</v>
      </c>
      <c r="F24">
        <f>SUM(F4:F23)</f>
        <v>11910986.666666668</v>
      </c>
      <c r="M24" s="8">
        <f t="shared" ref="M24:M25" si="7">E24/B24</f>
        <v>2.3415869614486358</v>
      </c>
      <c r="N24" s="8">
        <f t="shared" si="2"/>
        <v>1.629545965676958</v>
      </c>
      <c r="O24" s="8">
        <f t="shared" si="3"/>
        <v>1.442236597580377</v>
      </c>
      <c r="P24" s="8">
        <f t="shared" si="4"/>
        <v>2.1178749725327899</v>
      </c>
      <c r="Q24" s="8"/>
    </row>
    <row r="25" spans="1:17" x14ac:dyDescent="0.25">
      <c r="A25" t="s">
        <v>27</v>
      </c>
      <c r="B25">
        <f>AVERAGE(B4:B22)</f>
        <v>296001.43692052318</v>
      </c>
      <c r="C25">
        <f t="shared" ref="C25:E25" si="8">AVERAGE(C4:C22)</f>
        <v>426904.10526315792</v>
      </c>
      <c r="D25">
        <f t="shared" si="8"/>
        <v>482347.94736842107</v>
      </c>
      <c r="E25">
        <f t="shared" si="8"/>
        <v>693113.10526315786</v>
      </c>
      <c r="F25" s="7" t="e">
        <f>AVERAGE(#REF!)</f>
        <v>#REF!</v>
      </c>
      <c r="M25" s="8">
        <f t="shared" si="7"/>
        <v>2.3415869614486358</v>
      </c>
      <c r="N25" s="8">
        <f t="shared" si="2"/>
        <v>1.6295459656769578</v>
      </c>
      <c r="O25" s="8">
        <f t="shared" si="3"/>
        <v>1.442236597580377</v>
      </c>
      <c r="P25" s="8" t="e">
        <f t="shared" si="4"/>
        <v>#REF!</v>
      </c>
      <c r="Q25" s="8"/>
    </row>
    <row r="26" spans="1:17" x14ac:dyDescent="0.25">
      <c r="N26" s="8"/>
      <c r="O26" s="8"/>
      <c r="P26" s="8"/>
      <c r="Q26" s="8"/>
    </row>
    <row r="27" spans="1:17" x14ac:dyDescent="0.25">
      <c r="A27" t="s">
        <v>31</v>
      </c>
      <c r="B27">
        <f>SUM(B4:B19)</f>
        <v>4138532.3014899394</v>
      </c>
      <c r="C27">
        <f t="shared" ref="C27:G27" si="9">SUM(C4:C19)</f>
        <v>6239964</v>
      </c>
      <c r="D27">
        <f t="shared" si="9"/>
        <v>7157290</v>
      </c>
      <c r="E27">
        <f t="shared" si="9"/>
        <v>10176768</v>
      </c>
      <c r="F27">
        <f t="shared" si="9"/>
        <v>10913526.333333334</v>
      </c>
      <c r="G27">
        <f t="shared" si="9"/>
        <v>11208400.25</v>
      </c>
      <c r="M27" s="8">
        <f t="shared" ref="M27" si="10">E27/B27</f>
        <v>2.4590282879600087</v>
      </c>
      <c r="N27" s="8">
        <f t="shared" ref="N27" si="11">D27/B27</f>
        <v>1.7294271201950648</v>
      </c>
      <c r="O27" s="8">
        <f t="shared" ref="O27" si="12">C27/B27</f>
        <v>1.5077722113594501</v>
      </c>
      <c r="P27" s="8">
        <f t="shared" ref="P27" si="13">F27/B27</f>
        <v>2.6370523505167003</v>
      </c>
      <c r="Q27" s="8">
        <f t="shared" ref="Q27" si="14">G27/B27</f>
        <v>2.7083031938556554</v>
      </c>
    </row>
    <row r="28" spans="1:17" x14ac:dyDescent="0.25">
      <c r="A28" t="s">
        <v>32</v>
      </c>
    </row>
    <row r="31" spans="1:17" x14ac:dyDescent="0.25">
      <c r="A31" t="s">
        <v>39</v>
      </c>
      <c r="B31">
        <f>SUM(B2:B8)</f>
        <v>861729.30148993956</v>
      </c>
      <c r="C31">
        <f t="shared" ref="C31:E31" si="15">SUM(C2:C8)</f>
        <v>1812467</v>
      </c>
      <c r="D31">
        <f t="shared" si="15"/>
        <v>2058008</v>
      </c>
      <c r="E31">
        <f t="shared" si="15"/>
        <v>2789393</v>
      </c>
    </row>
    <row r="32" spans="1:17" x14ac:dyDescent="0.25">
      <c r="A32" t="s">
        <v>40</v>
      </c>
      <c r="B32" s="7">
        <f>AVERAGE(B2:B8)</f>
        <v>172345.86029798791</v>
      </c>
      <c r="C32" s="7">
        <f t="shared" ref="C32:E32" si="16">AVERAGE(C2:C8)</f>
        <v>258923.85714285713</v>
      </c>
      <c r="D32" s="7">
        <f t="shared" si="16"/>
        <v>294001.14285714284</v>
      </c>
      <c r="E32" s="7">
        <f t="shared" si="16"/>
        <v>398484.71428571426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2D0E-F60D-4134-8034-127ABD08E073}">
  <dimension ref="A1:L32"/>
  <sheetViews>
    <sheetView workbookViewId="0">
      <selection activeCell="F1" sqref="F1"/>
    </sheetView>
  </sheetViews>
  <sheetFormatPr defaultRowHeight="15" x14ac:dyDescent="0.25"/>
  <cols>
    <col min="8" max="9" width="13.425781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37</v>
      </c>
      <c r="C2">
        <v>301888</v>
      </c>
      <c r="D2">
        <v>326528</v>
      </c>
      <c r="E2">
        <v>473608</v>
      </c>
    </row>
    <row r="3" spans="1:12" x14ac:dyDescent="0.25">
      <c r="A3" t="s">
        <v>38</v>
      </c>
      <c r="C3">
        <v>307373</v>
      </c>
      <c r="D3">
        <v>314880</v>
      </c>
      <c r="E3">
        <v>357337</v>
      </c>
    </row>
    <row r="4" spans="1:12" x14ac:dyDescent="0.25">
      <c r="A4" t="s">
        <v>7</v>
      </c>
      <c r="B4" s="7">
        <v>275266.06345074432</v>
      </c>
      <c r="C4">
        <v>347352</v>
      </c>
      <c r="D4">
        <v>368636</v>
      </c>
      <c r="E4">
        <v>377150</v>
      </c>
      <c r="F4" s="7">
        <v>489595.66666666669</v>
      </c>
      <c r="G4" s="7">
        <f>AVERAGE(E4:E7)</f>
        <v>511241</v>
      </c>
      <c r="H4" s="8">
        <f>E4/B4</f>
        <v>1.3701289409672786</v>
      </c>
      <c r="I4" s="8">
        <f>D4/B4</f>
        <v>1.3391988659218181</v>
      </c>
      <c r="J4" s="8">
        <f>C4/B4</f>
        <v>1.2618773111570094</v>
      </c>
      <c r="K4" s="8">
        <f>F4/B4</f>
        <v>1.7786270509669064</v>
      </c>
      <c r="L4" s="8">
        <f>G4/B4</f>
        <v>1.8572612751134892</v>
      </c>
    </row>
    <row r="5" spans="1:12" x14ac:dyDescent="0.25">
      <c r="A5" s="9" t="s">
        <v>8</v>
      </c>
      <c r="B5" s="14">
        <v>307261</v>
      </c>
      <c r="C5" s="9">
        <v>409501</v>
      </c>
      <c r="D5" s="9">
        <v>433788</v>
      </c>
      <c r="E5" s="9">
        <v>627878</v>
      </c>
      <c r="F5" s="7">
        <v>555938</v>
      </c>
      <c r="G5" s="7">
        <f t="shared" ref="G5:G19" si="0">AVERAGE(E5:E8)</f>
        <v>567790.25</v>
      </c>
      <c r="H5" s="8">
        <f t="shared" ref="H5:H22" si="1">E5/B5</f>
        <v>2.043467931172521</v>
      </c>
      <c r="I5" s="8">
        <f t="shared" ref="I5:I25" si="2">D5/B5</f>
        <v>1.4117899765996986</v>
      </c>
      <c r="J5" s="8">
        <f t="shared" ref="J5:J25" si="3">C5/B5</f>
        <v>1.332746427304474</v>
      </c>
      <c r="K5" s="8">
        <f t="shared" ref="K5:K25" si="4">F5/B5</f>
        <v>1.8093347349647368</v>
      </c>
      <c r="L5" s="8">
        <f t="shared" ref="L5:L19" si="5">G5/B5</f>
        <v>1.8479086184058504</v>
      </c>
    </row>
    <row r="6" spans="1:12" x14ac:dyDescent="0.25">
      <c r="A6" t="s">
        <v>9</v>
      </c>
      <c r="B6">
        <v>311235</v>
      </c>
      <c r="C6">
        <v>417442</v>
      </c>
      <c r="D6">
        <v>437770</v>
      </c>
      <c r="E6">
        <v>463759</v>
      </c>
      <c r="F6" s="7">
        <v>547761</v>
      </c>
      <c r="G6" s="7">
        <f t="shared" si="0"/>
        <v>592157.25</v>
      </c>
      <c r="H6" s="8">
        <f t="shared" si="1"/>
        <v>1.4900605651677992</v>
      </c>
      <c r="I6" s="8">
        <f t="shared" si="2"/>
        <v>1.4065577457548155</v>
      </c>
      <c r="J6" s="8">
        <f t="shared" si="3"/>
        <v>1.341243754719103</v>
      </c>
      <c r="K6" s="8">
        <f t="shared" si="4"/>
        <v>1.7599595161212589</v>
      </c>
      <c r="L6" s="8">
        <f t="shared" si="5"/>
        <v>1.9026049448166176</v>
      </c>
    </row>
    <row r="7" spans="1:12" x14ac:dyDescent="0.25">
      <c r="A7" t="s">
        <v>10</v>
      </c>
      <c r="B7">
        <v>291782</v>
      </c>
      <c r="C7">
        <v>436921</v>
      </c>
      <c r="D7">
        <v>481530</v>
      </c>
      <c r="E7">
        <v>576177</v>
      </c>
      <c r="F7" s="7">
        <v>634956.66666666663</v>
      </c>
      <c r="G7" s="7">
        <f t="shared" si="0"/>
        <v>635224</v>
      </c>
      <c r="H7" s="8">
        <f t="shared" si="1"/>
        <v>1.9746831538614444</v>
      </c>
      <c r="I7" s="8">
        <f t="shared" si="2"/>
        <v>1.6503074212939797</v>
      </c>
      <c r="J7" s="8">
        <f t="shared" si="3"/>
        <v>1.4974227334105599</v>
      </c>
      <c r="K7" s="8">
        <f t="shared" si="4"/>
        <v>2.1761337802423268</v>
      </c>
      <c r="L7" s="8">
        <f t="shared" si="5"/>
        <v>2.1770499893756297</v>
      </c>
    </row>
    <row r="8" spans="1:12" x14ac:dyDescent="0.25">
      <c r="A8" t="s">
        <v>11</v>
      </c>
      <c r="B8">
        <v>273538</v>
      </c>
      <c r="C8">
        <v>333174</v>
      </c>
      <c r="D8">
        <v>390117</v>
      </c>
      <c r="E8">
        <v>603347</v>
      </c>
      <c r="F8" s="7">
        <v>654906.33333333337</v>
      </c>
      <c r="G8" s="7">
        <f t="shared" si="0"/>
        <v>693887.25</v>
      </c>
      <c r="H8" s="8">
        <f t="shared" si="1"/>
        <v>2.2057154764603091</v>
      </c>
      <c r="I8" s="8">
        <f t="shared" si="2"/>
        <v>1.4261894142678531</v>
      </c>
      <c r="J8" s="8">
        <f t="shared" si="3"/>
        <v>1.2180172407490002</v>
      </c>
      <c r="K8" s="8">
        <f t="shared" si="4"/>
        <v>2.3942060457169876</v>
      </c>
      <c r="L8" s="8">
        <f t="shared" si="5"/>
        <v>2.5367124494585762</v>
      </c>
    </row>
    <row r="9" spans="1:12" x14ac:dyDescent="0.25">
      <c r="A9" t="s">
        <v>12</v>
      </c>
      <c r="B9">
        <v>300885</v>
      </c>
      <c r="C9">
        <v>428423</v>
      </c>
      <c r="D9">
        <v>521447</v>
      </c>
      <c r="E9">
        <v>725346</v>
      </c>
      <c r="F9" s="7">
        <v>724067.33333333337</v>
      </c>
      <c r="G9" s="7">
        <f t="shared" si="0"/>
        <v>741654.75</v>
      </c>
      <c r="H9" s="8">
        <f t="shared" si="1"/>
        <v>2.4107084101899399</v>
      </c>
      <c r="I9" s="8">
        <f t="shared" si="2"/>
        <v>1.7330441863170314</v>
      </c>
      <c r="J9" s="8">
        <f t="shared" si="3"/>
        <v>1.423876231782907</v>
      </c>
      <c r="K9" s="8">
        <f t="shared" si="4"/>
        <v>2.4064587245403839</v>
      </c>
      <c r="L9" s="8">
        <f t="shared" si="5"/>
        <v>2.4649110125130864</v>
      </c>
    </row>
    <row r="10" spans="1:12" x14ac:dyDescent="0.25">
      <c r="A10" t="s">
        <v>13</v>
      </c>
      <c r="B10">
        <v>302397</v>
      </c>
      <c r="C10">
        <v>441829</v>
      </c>
      <c r="D10">
        <v>508851</v>
      </c>
      <c r="E10">
        <v>636026</v>
      </c>
      <c r="F10" s="7">
        <v>747091</v>
      </c>
      <c r="G10" s="7">
        <f t="shared" si="0"/>
        <v>793670.75</v>
      </c>
      <c r="H10" s="8">
        <f t="shared" si="1"/>
        <v>2.1032814478979618</v>
      </c>
      <c r="I10" s="8">
        <f t="shared" si="2"/>
        <v>1.6827250270339984</v>
      </c>
      <c r="J10" s="8">
        <f t="shared" si="3"/>
        <v>1.4610892303825767</v>
      </c>
      <c r="K10" s="8">
        <f t="shared" si="4"/>
        <v>2.4705635307228575</v>
      </c>
      <c r="L10" s="8">
        <f t="shared" si="5"/>
        <v>2.6245986236635948</v>
      </c>
    </row>
    <row r="11" spans="1:12" x14ac:dyDescent="0.25">
      <c r="A11" t="s">
        <v>14</v>
      </c>
      <c r="B11">
        <v>336932</v>
      </c>
      <c r="C11">
        <v>465902</v>
      </c>
      <c r="D11">
        <v>501851</v>
      </c>
      <c r="E11">
        <v>810830</v>
      </c>
      <c r="F11" s="7">
        <v>846219</v>
      </c>
      <c r="G11" s="7">
        <f t="shared" si="0"/>
        <v>804671.25</v>
      </c>
      <c r="H11" s="8">
        <f t="shared" si="1"/>
        <v>2.4065093253238041</v>
      </c>
      <c r="I11" s="8">
        <f t="shared" si="2"/>
        <v>1.4894726532356677</v>
      </c>
      <c r="J11" s="8">
        <f t="shared" si="3"/>
        <v>1.3827775337456816</v>
      </c>
      <c r="K11" s="8">
        <f t="shared" si="4"/>
        <v>2.5115423883751022</v>
      </c>
      <c r="L11" s="8">
        <f t="shared" si="5"/>
        <v>2.388230414445645</v>
      </c>
    </row>
    <row r="12" spans="1:12" x14ac:dyDescent="0.25">
      <c r="A12" t="s">
        <v>15</v>
      </c>
      <c r="B12">
        <v>411670</v>
      </c>
      <c r="C12">
        <v>581511</v>
      </c>
      <c r="D12">
        <v>628428</v>
      </c>
      <c r="E12">
        <v>794417</v>
      </c>
      <c r="F12" s="7">
        <v>802618.33333333337</v>
      </c>
      <c r="G12" s="7">
        <f t="shared" si="0"/>
        <v>874455</v>
      </c>
      <c r="H12" s="8">
        <f t="shared" si="1"/>
        <v>1.9297422692933661</v>
      </c>
      <c r="I12" s="8">
        <f t="shared" si="2"/>
        <v>1.5265333883936163</v>
      </c>
      <c r="J12" s="8">
        <f t="shared" si="3"/>
        <v>1.4125658901547355</v>
      </c>
      <c r="K12" s="8">
        <f t="shared" si="4"/>
        <v>1.9496643751872456</v>
      </c>
      <c r="L12" s="8">
        <f t="shared" si="5"/>
        <v>2.1241649865183279</v>
      </c>
    </row>
    <row r="13" spans="1:12" x14ac:dyDescent="0.25">
      <c r="A13" t="s">
        <v>16</v>
      </c>
      <c r="B13">
        <v>479311</v>
      </c>
      <c r="C13">
        <v>652555</v>
      </c>
      <c r="D13">
        <v>697541</v>
      </c>
      <c r="E13">
        <v>933410</v>
      </c>
      <c r="F13" s="7">
        <v>901134.33333333337</v>
      </c>
      <c r="G13" s="7">
        <f t="shared" si="0"/>
        <v>841123.5</v>
      </c>
      <c r="H13" s="8">
        <f t="shared" si="1"/>
        <v>1.9473994963604007</v>
      </c>
      <c r="I13" s="8">
        <f t="shared" si="2"/>
        <v>1.4552993776483327</v>
      </c>
      <c r="J13" s="8">
        <f t="shared" si="3"/>
        <v>1.3614438224868612</v>
      </c>
      <c r="K13" s="8">
        <f t="shared" si="4"/>
        <v>1.8800618665821009</v>
      </c>
      <c r="L13" s="8">
        <f t="shared" si="5"/>
        <v>1.7548595796883444</v>
      </c>
    </row>
    <row r="14" spans="1:12" x14ac:dyDescent="0.25">
      <c r="A14" t="s">
        <v>17</v>
      </c>
      <c r="B14">
        <v>457594</v>
      </c>
      <c r="C14">
        <v>593766</v>
      </c>
      <c r="D14">
        <v>611210</v>
      </c>
      <c r="E14">
        <v>680028</v>
      </c>
      <c r="F14" s="7">
        <v>810361.33333333337</v>
      </c>
      <c r="G14" s="7">
        <f t="shared" si="0"/>
        <v>939620.5</v>
      </c>
      <c r="H14" s="8">
        <f t="shared" si="1"/>
        <v>1.4860946603320848</v>
      </c>
      <c r="I14" s="8">
        <f t="shared" si="2"/>
        <v>1.3357037024086855</v>
      </c>
      <c r="J14" s="8">
        <f t="shared" si="3"/>
        <v>1.2975825731980752</v>
      </c>
      <c r="K14" s="8">
        <f t="shared" si="4"/>
        <v>1.7709177422198135</v>
      </c>
      <c r="L14" s="8">
        <f t="shared" si="5"/>
        <v>2.0533934011372525</v>
      </c>
    </row>
    <row r="15" spans="1:12" x14ac:dyDescent="0.25">
      <c r="A15" t="s">
        <v>18</v>
      </c>
      <c r="B15">
        <v>533003</v>
      </c>
      <c r="C15">
        <v>744251</v>
      </c>
      <c r="D15">
        <v>783476</v>
      </c>
      <c r="E15">
        <v>1089965</v>
      </c>
      <c r="F15" s="7">
        <v>1026151.3333333334</v>
      </c>
      <c r="G15" s="7">
        <f t="shared" si="0"/>
        <v>1002232.25</v>
      </c>
      <c r="H15" s="8">
        <f t="shared" si="1"/>
        <v>2.0449509665048788</v>
      </c>
      <c r="I15" s="8">
        <f t="shared" si="2"/>
        <v>1.4699279366157414</v>
      </c>
      <c r="J15" s="8">
        <f t="shared" si="3"/>
        <v>1.3963354802881034</v>
      </c>
      <c r="K15" s="8">
        <f t="shared" si="4"/>
        <v>1.9252261869695544</v>
      </c>
      <c r="L15" s="8">
        <f t="shared" si="5"/>
        <v>1.8803501105997527</v>
      </c>
    </row>
    <row r="16" spans="1:12" x14ac:dyDescent="0.25">
      <c r="A16" t="s">
        <v>19</v>
      </c>
      <c r="B16">
        <v>474487</v>
      </c>
      <c r="C16">
        <v>641036</v>
      </c>
      <c r="D16">
        <v>661091</v>
      </c>
      <c r="E16">
        <v>661091</v>
      </c>
      <c r="F16" s="7">
        <v>972988</v>
      </c>
      <c r="G16" s="7">
        <f t="shared" si="0"/>
        <v>950672.25</v>
      </c>
      <c r="H16" s="8">
        <f t="shared" si="1"/>
        <v>1.3932752636004779</v>
      </c>
      <c r="I16" s="8">
        <f t="shared" si="2"/>
        <v>1.3932752636004779</v>
      </c>
      <c r="J16" s="8">
        <f t="shared" si="3"/>
        <v>1.3510085629321773</v>
      </c>
      <c r="K16" s="8">
        <f t="shared" si="4"/>
        <v>2.0506104487583432</v>
      </c>
      <c r="L16" s="8">
        <f t="shared" si="5"/>
        <v>2.003579128616801</v>
      </c>
    </row>
    <row r="17" spans="1:12" x14ac:dyDescent="0.25">
      <c r="A17" t="s">
        <v>20</v>
      </c>
      <c r="B17">
        <v>528325</v>
      </c>
      <c r="C17">
        <v>754196</v>
      </c>
      <c r="D17">
        <v>815902</v>
      </c>
      <c r="E17">
        <v>1327398</v>
      </c>
      <c r="F17" s="7">
        <v>1047199.3333333334</v>
      </c>
      <c r="G17" s="7">
        <f t="shared" si="0"/>
        <v>995750.5</v>
      </c>
      <c r="H17" s="8">
        <f t="shared" si="1"/>
        <v>2.5124648653764257</v>
      </c>
      <c r="I17" s="8">
        <f t="shared" si="2"/>
        <v>1.5443183646429754</v>
      </c>
      <c r="J17" s="8">
        <f t="shared" si="3"/>
        <v>1.4275228315904036</v>
      </c>
      <c r="K17" s="8">
        <f t="shared" si="4"/>
        <v>1.9821120206943328</v>
      </c>
      <c r="L17" s="8">
        <f t="shared" si="5"/>
        <v>1.8847309894477831</v>
      </c>
    </row>
    <row r="18" spans="1:12" x14ac:dyDescent="0.25">
      <c r="A18" t="s">
        <v>21</v>
      </c>
      <c r="B18">
        <v>310275</v>
      </c>
      <c r="C18">
        <v>649372</v>
      </c>
      <c r="D18">
        <v>741329</v>
      </c>
      <c r="E18">
        <v>930475</v>
      </c>
      <c r="F18" s="7">
        <v>885201.33333333337</v>
      </c>
      <c r="G18" s="7">
        <f t="shared" si="0"/>
        <v>922690.25</v>
      </c>
      <c r="H18" s="8">
        <f t="shared" si="1"/>
        <v>2.9988719684151155</v>
      </c>
      <c r="I18" s="8">
        <f t="shared" si="2"/>
        <v>2.389264362259286</v>
      </c>
      <c r="J18" s="8">
        <f t="shared" si="3"/>
        <v>2.0928917895415355</v>
      </c>
      <c r="K18" s="8">
        <f t="shared" si="4"/>
        <v>2.8529573228050387</v>
      </c>
      <c r="L18" s="8">
        <f t="shared" si="5"/>
        <v>2.9737821287567479</v>
      </c>
    </row>
    <row r="19" spans="1:12" x14ac:dyDescent="0.25">
      <c r="A19" t="s">
        <v>22</v>
      </c>
      <c r="B19">
        <v>311402</v>
      </c>
      <c r="C19">
        <v>645831</v>
      </c>
      <c r="D19">
        <v>678142</v>
      </c>
      <c r="E19">
        <v>883725</v>
      </c>
      <c r="F19" s="7">
        <v>920095.33333333337</v>
      </c>
      <c r="G19" s="7">
        <f t="shared" si="0"/>
        <v>905890.5</v>
      </c>
      <c r="H19" s="8">
        <f t="shared" si="1"/>
        <v>2.8378912145715183</v>
      </c>
      <c r="I19" s="8">
        <f t="shared" si="2"/>
        <v>2.1777059877585887</v>
      </c>
      <c r="J19" s="8">
        <f t="shared" si="3"/>
        <v>2.0739462174295604</v>
      </c>
      <c r="K19" s="8">
        <f t="shared" si="4"/>
        <v>2.9546866536930829</v>
      </c>
      <c r="L19" s="8">
        <f t="shared" si="5"/>
        <v>2.909070911554839</v>
      </c>
    </row>
    <row r="20" spans="1:12" x14ac:dyDescent="0.25">
      <c r="A20" t="s">
        <v>23</v>
      </c>
      <c r="B20">
        <v>399330</v>
      </c>
      <c r="C20">
        <v>713760</v>
      </c>
      <c r="D20">
        <v>748402</v>
      </c>
      <c r="E20">
        <v>841404</v>
      </c>
      <c r="F20" s="7">
        <v>913279</v>
      </c>
      <c r="H20" s="8">
        <f t="shared" si="1"/>
        <v>2.1070392908121103</v>
      </c>
      <c r="I20" s="8">
        <f t="shared" si="2"/>
        <v>1.8741441915207973</v>
      </c>
      <c r="J20" s="8">
        <f t="shared" si="3"/>
        <v>1.7873938847569679</v>
      </c>
      <c r="K20" s="8">
        <f t="shared" si="4"/>
        <v>2.2870282723561965</v>
      </c>
      <c r="L20" s="8"/>
    </row>
    <row r="21" spans="1:12" x14ac:dyDescent="0.25">
      <c r="A21" s="10" t="s">
        <v>24</v>
      </c>
      <c r="B21">
        <v>355158</v>
      </c>
      <c r="C21">
        <v>750560</v>
      </c>
      <c r="D21">
        <v>859819</v>
      </c>
      <c r="E21">
        <v>1035157</v>
      </c>
      <c r="H21" s="8">
        <f t="shared" si="1"/>
        <v>2.9146379921049221</v>
      </c>
      <c r="I21" s="8">
        <f t="shared" si="2"/>
        <v>2.4209478598257679</v>
      </c>
      <c r="J21" s="8">
        <f t="shared" si="3"/>
        <v>2.1133129480400275</v>
      </c>
      <c r="K21" s="8"/>
      <c r="L21" s="8"/>
    </row>
    <row r="22" spans="1:12" x14ac:dyDescent="0.25">
      <c r="A22" s="11" t="s">
        <v>25</v>
      </c>
      <c r="B22">
        <v>388554</v>
      </c>
      <c r="C22">
        <v>656069</v>
      </c>
      <c r="D22">
        <v>702640</v>
      </c>
      <c r="E22">
        <v>863276</v>
      </c>
      <c r="H22" s="8">
        <f t="shared" si="1"/>
        <v>2.2217658292026332</v>
      </c>
      <c r="I22" s="8">
        <f t="shared" si="2"/>
        <v>1.8083458155108427</v>
      </c>
      <c r="J22" s="8">
        <f t="shared" si="3"/>
        <v>1.6884886013269713</v>
      </c>
      <c r="K22" s="8"/>
      <c r="L22" s="8"/>
    </row>
    <row r="23" spans="1:12" x14ac:dyDescent="0.25">
      <c r="I23" s="8"/>
      <c r="J23" s="8"/>
      <c r="K23" s="8"/>
      <c r="L23" s="8"/>
    </row>
    <row r="24" spans="1:12" x14ac:dyDescent="0.25">
      <c r="A24" t="s">
        <v>26</v>
      </c>
      <c r="B24">
        <f>SUM(B4:B23)</f>
        <v>7048405.0634507444</v>
      </c>
      <c r="C24">
        <f t="shared" ref="C24:F24" si="6">SUM(C4:C23)</f>
        <v>10663451</v>
      </c>
      <c r="D24">
        <f t="shared" si="6"/>
        <v>11571970</v>
      </c>
      <c r="E24">
        <f t="shared" si="6"/>
        <v>14860859</v>
      </c>
      <c r="F24">
        <f t="shared" si="6"/>
        <v>13479563.333333334</v>
      </c>
      <c r="H24" s="8">
        <f t="shared" ref="H24:H25" si="7">E24/B24</f>
        <v>2.1084002503006616</v>
      </c>
      <c r="I24" s="8">
        <f t="shared" si="2"/>
        <v>1.6417856090601322</v>
      </c>
      <c r="J24" s="8">
        <f t="shared" si="3"/>
        <v>1.5128885051307492</v>
      </c>
      <c r="K24" s="8">
        <f t="shared" si="4"/>
        <v>1.9124274515991049</v>
      </c>
      <c r="L24" s="8"/>
    </row>
    <row r="25" spans="1:12" x14ac:dyDescent="0.25">
      <c r="A25" t="s">
        <v>27</v>
      </c>
      <c r="B25">
        <f>AVERAGE(B4:B22)</f>
        <v>370968.68755003921</v>
      </c>
      <c r="C25">
        <f t="shared" ref="C25:E25" si="8">AVERAGE(C4:C22)</f>
        <v>561234.26315789472</v>
      </c>
      <c r="D25">
        <f t="shared" si="8"/>
        <v>609051.05263157899</v>
      </c>
      <c r="E25">
        <f t="shared" si="8"/>
        <v>782150.47368421056</v>
      </c>
      <c r="F25" s="7">
        <f>AVERAGE(F4:F20)</f>
        <v>792915.49019607843</v>
      </c>
      <c r="H25" s="8">
        <f t="shared" si="7"/>
        <v>2.1084002503006616</v>
      </c>
      <c r="I25" s="8">
        <f t="shared" si="2"/>
        <v>1.6417856090601322</v>
      </c>
      <c r="J25" s="8">
        <f t="shared" si="3"/>
        <v>1.512888505130749</v>
      </c>
      <c r="K25" s="8">
        <f t="shared" si="4"/>
        <v>2.1374189164931168</v>
      </c>
      <c r="L25" s="8"/>
    </row>
    <row r="26" spans="1:12" x14ac:dyDescent="0.25">
      <c r="I26" s="8"/>
      <c r="J26" s="8"/>
      <c r="K26" s="8"/>
      <c r="L26" s="8"/>
    </row>
    <row r="27" spans="1:12" x14ac:dyDescent="0.25">
      <c r="A27" t="s">
        <v>31</v>
      </c>
      <c r="B27" s="7">
        <f>SUM(B4:B19)</f>
        <v>5905363.0634507444</v>
      </c>
      <c r="C27">
        <f t="shared" ref="C27:G27" si="9">SUM(C4:C19)</f>
        <v>8543062</v>
      </c>
      <c r="D27">
        <f t="shared" si="9"/>
        <v>9261109</v>
      </c>
      <c r="E27">
        <f t="shared" si="9"/>
        <v>12121022</v>
      </c>
      <c r="F27">
        <f t="shared" si="9"/>
        <v>12566284.333333334</v>
      </c>
      <c r="G27">
        <f t="shared" si="9"/>
        <v>12772731.25</v>
      </c>
      <c r="H27" s="8">
        <f t="shared" ref="H27" si="10">E27/B27</f>
        <v>2.0525447580046321</v>
      </c>
      <c r="I27" s="8">
        <f t="shared" ref="I27" si="11">D27/B27</f>
        <v>1.5682539583922477</v>
      </c>
      <c r="J27" s="8">
        <f t="shared" ref="J27" si="12">C27/B27</f>
        <v>1.4466616037334614</v>
      </c>
      <c r="K27" s="8">
        <f t="shared" ref="K27" si="13">F27/B27</f>
        <v>2.1279444122763795</v>
      </c>
      <c r="L27" s="8">
        <f t="shared" ref="L27" si="14">G27/B27</f>
        <v>2.1629036373821822</v>
      </c>
    </row>
    <row r="28" spans="1:12" x14ac:dyDescent="0.25">
      <c r="A28" t="s">
        <v>32</v>
      </c>
    </row>
    <row r="31" spans="1:12" x14ac:dyDescent="0.25">
      <c r="A31" t="s">
        <v>39</v>
      </c>
      <c r="B31">
        <f>SUM(B2:B8)</f>
        <v>1459082.0634507444</v>
      </c>
      <c r="C31">
        <f t="shared" ref="C31:E31" si="15">SUM(C2:C8)</f>
        <v>2553651</v>
      </c>
      <c r="D31">
        <f t="shared" si="15"/>
        <v>2753249</v>
      </c>
      <c r="E31">
        <f t="shared" si="15"/>
        <v>3479256</v>
      </c>
    </row>
    <row r="32" spans="1:12" x14ac:dyDescent="0.25">
      <c r="A32" t="s">
        <v>40</v>
      </c>
      <c r="B32" s="7">
        <f>AVERAGE(B2:B8)</f>
        <v>291816.41269014886</v>
      </c>
      <c r="C32" s="7">
        <f t="shared" ref="C32:E32" si="16">AVERAGE(C2:C8)</f>
        <v>364807.28571428574</v>
      </c>
      <c r="D32" s="7">
        <f t="shared" si="16"/>
        <v>393321.28571428574</v>
      </c>
      <c r="E32" s="7">
        <f t="shared" si="16"/>
        <v>497036.57142857142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1A0C-E7BE-42EE-848F-C8BD42A49689}">
  <dimension ref="A1:L32"/>
  <sheetViews>
    <sheetView workbookViewId="0">
      <selection activeCell="F1" sqref="F1"/>
    </sheetView>
  </sheetViews>
  <sheetFormatPr defaultRowHeight="15" x14ac:dyDescent="0.25"/>
  <cols>
    <col min="8" max="9" width="13.57031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37</v>
      </c>
      <c r="C2">
        <v>98862</v>
      </c>
      <c r="D2">
        <v>127579</v>
      </c>
      <c r="E2">
        <v>252410</v>
      </c>
    </row>
    <row r="3" spans="1:12" x14ac:dyDescent="0.25">
      <c r="A3" t="s">
        <v>38</v>
      </c>
      <c r="C3">
        <v>104019</v>
      </c>
      <c r="D3">
        <v>116563</v>
      </c>
      <c r="E3">
        <v>228361</v>
      </c>
    </row>
    <row r="4" spans="1:12" x14ac:dyDescent="0.25">
      <c r="A4" t="s">
        <v>7</v>
      </c>
      <c r="B4" s="7">
        <v>79006.317001858071</v>
      </c>
      <c r="C4">
        <v>140653</v>
      </c>
      <c r="D4">
        <v>152137</v>
      </c>
      <c r="E4">
        <v>164305</v>
      </c>
      <c r="F4" s="7">
        <v>178865.33333333334</v>
      </c>
      <c r="G4" s="7">
        <f>AVERAGE(E4:E7)</f>
        <v>231423.25</v>
      </c>
      <c r="H4" s="8">
        <f>E4/B4</f>
        <v>2.0796438340004619</v>
      </c>
      <c r="I4" s="8">
        <f>D4/B4</f>
        <v>1.9256308327398939</v>
      </c>
      <c r="J4" s="8">
        <f>C4/B4</f>
        <v>1.7802753670531448</v>
      </c>
      <c r="K4" s="8">
        <f>F4/B4</f>
        <v>2.2639371144098108</v>
      </c>
      <c r="L4" s="8">
        <f>G4/B4</f>
        <v>2.9291740050932558</v>
      </c>
    </row>
    <row r="5" spans="1:12" x14ac:dyDescent="0.25">
      <c r="A5" s="9" t="s">
        <v>8</v>
      </c>
      <c r="B5" s="14">
        <v>89701</v>
      </c>
      <c r="C5" s="9">
        <v>181620</v>
      </c>
      <c r="D5" s="9">
        <v>189032</v>
      </c>
      <c r="E5" s="9">
        <v>189994</v>
      </c>
      <c r="F5" s="7">
        <v>253796</v>
      </c>
      <c r="G5" s="7">
        <f t="shared" ref="G5:G19" si="0">AVERAGE(E5:E8)</f>
        <v>250034.5</v>
      </c>
      <c r="H5" s="8">
        <f t="shared" ref="H5:H22" si="1">E5/B5</f>
        <v>2.1180811808118083</v>
      </c>
      <c r="I5" s="8">
        <f t="shared" ref="I5:I25" si="2">D5/B5</f>
        <v>2.1073566626904938</v>
      </c>
      <c r="J5" s="8">
        <f t="shared" ref="J5:J25" si="3">C5/B5</f>
        <v>2.0247265916767927</v>
      </c>
      <c r="K5" s="8">
        <f t="shared" ref="K5:K25" si="4">F5/B5</f>
        <v>2.8293553026164702</v>
      </c>
      <c r="L5" s="8">
        <f t="shared" ref="L5:L19" si="5">G5/B5</f>
        <v>2.787421544910313</v>
      </c>
    </row>
    <row r="6" spans="1:12" x14ac:dyDescent="0.25">
      <c r="A6" t="s">
        <v>9</v>
      </c>
      <c r="B6">
        <v>76482</v>
      </c>
      <c r="C6">
        <v>151524</v>
      </c>
      <c r="D6">
        <v>175943</v>
      </c>
      <c r="E6">
        <v>182297</v>
      </c>
      <c r="F6" s="7">
        <v>270048</v>
      </c>
      <c r="G6" s="7">
        <f t="shared" si="0"/>
        <v>297336.75</v>
      </c>
      <c r="H6" s="8">
        <f t="shared" si="1"/>
        <v>2.3835281504144765</v>
      </c>
      <c r="I6" s="8">
        <f t="shared" si="2"/>
        <v>2.300449779032975</v>
      </c>
      <c r="J6" s="8">
        <f t="shared" si="3"/>
        <v>1.981172040480113</v>
      </c>
      <c r="K6" s="8">
        <f t="shared" si="4"/>
        <v>3.5308700086294813</v>
      </c>
      <c r="L6" s="8">
        <f t="shared" si="5"/>
        <v>3.8876696477602573</v>
      </c>
    </row>
    <row r="7" spans="1:12" x14ac:dyDescent="0.25">
      <c r="A7" t="s">
        <v>10</v>
      </c>
      <c r="B7">
        <v>91068</v>
      </c>
      <c r="C7">
        <v>181990</v>
      </c>
      <c r="D7">
        <v>229866</v>
      </c>
      <c r="E7">
        <v>389097</v>
      </c>
      <c r="F7" s="7">
        <v>335683.33333333331</v>
      </c>
      <c r="G7" s="7">
        <f t="shared" si="0"/>
        <v>365344.75</v>
      </c>
      <c r="H7" s="8">
        <f t="shared" si="1"/>
        <v>4.2725984978258005</v>
      </c>
      <c r="I7" s="8">
        <f t="shared" si="2"/>
        <v>2.5241138489919619</v>
      </c>
      <c r="J7" s="8">
        <f t="shared" si="3"/>
        <v>1.9983968023894232</v>
      </c>
      <c r="K7" s="8">
        <f t="shared" si="4"/>
        <v>3.6860734103453829</v>
      </c>
      <c r="L7" s="8">
        <f t="shared" si="5"/>
        <v>4.0117796591557955</v>
      </c>
    </row>
    <row r="8" spans="1:12" x14ac:dyDescent="0.25">
      <c r="A8" t="s">
        <v>11</v>
      </c>
      <c r="B8">
        <v>102588</v>
      </c>
      <c r="C8">
        <v>183855</v>
      </c>
      <c r="D8">
        <v>208651</v>
      </c>
      <c r="E8">
        <v>238750</v>
      </c>
      <c r="F8" s="7">
        <v>357427.33333333331</v>
      </c>
      <c r="G8" s="7">
        <f t="shared" si="0"/>
        <v>580309.75</v>
      </c>
      <c r="H8" s="8">
        <f t="shared" si="1"/>
        <v>2.3272702460326742</v>
      </c>
      <c r="I8" s="8">
        <f t="shared" si="2"/>
        <v>2.0338733575077006</v>
      </c>
      <c r="J8" s="8">
        <f t="shared" si="3"/>
        <v>1.7921686746987953</v>
      </c>
      <c r="K8" s="8">
        <f t="shared" si="4"/>
        <v>3.4841047036040602</v>
      </c>
      <c r="L8" s="8">
        <f t="shared" si="5"/>
        <v>5.6567020509221351</v>
      </c>
    </row>
    <row r="9" spans="1:12" x14ac:dyDescent="0.25">
      <c r="A9" t="s">
        <v>12</v>
      </c>
      <c r="B9">
        <v>103334</v>
      </c>
      <c r="C9">
        <v>197390</v>
      </c>
      <c r="D9">
        <v>299272</v>
      </c>
      <c r="E9">
        <v>379203</v>
      </c>
      <c r="F9" s="7">
        <v>694163</v>
      </c>
      <c r="G9" s="7">
        <f t="shared" si="0"/>
        <v>627067.75</v>
      </c>
      <c r="H9" s="8">
        <f t="shared" si="1"/>
        <v>3.6696827762401534</v>
      </c>
      <c r="I9" s="8">
        <f t="shared" si="2"/>
        <v>2.8961619602454176</v>
      </c>
      <c r="J9" s="8">
        <f t="shared" si="3"/>
        <v>1.9102134824936614</v>
      </c>
      <c r="K9" s="8">
        <f t="shared" si="4"/>
        <v>6.7176631118508912</v>
      </c>
      <c r="L9" s="8">
        <f t="shared" si="5"/>
        <v>6.0683584299456133</v>
      </c>
    </row>
    <row r="10" spans="1:12" x14ac:dyDescent="0.25">
      <c r="A10" t="s">
        <v>13</v>
      </c>
      <c r="B10">
        <v>99744</v>
      </c>
      <c r="C10">
        <v>211016</v>
      </c>
      <c r="D10">
        <v>266463</v>
      </c>
      <c r="E10">
        <v>454329</v>
      </c>
      <c r="F10" s="7">
        <v>709689.33333333337</v>
      </c>
      <c r="G10" s="7">
        <f t="shared" si="0"/>
        <v>673201</v>
      </c>
      <c r="H10" s="8">
        <f t="shared" si="1"/>
        <v>4.5549506737247354</v>
      </c>
      <c r="I10" s="8">
        <f t="shared" si="2"/>
        <v>2.6714689605389799</v>
      </c>
      <c r="J10" s="8">
        <f t="shared" si="3"/>
        <v>2.1155758742380493</v>
      </c>
      <c r="K10" s="8">
        <f t="shared" si="4"/>
        <v>7.1151080098385204</v>
      </c>
      <c r="L10" s="8">
        <f t="shared" si="5"/>
        <v>6.7492881777350018</v>
      </c>
    </row>
    <row r="11" spans="1:12" x14ac:dyDescent="0.25">
      <c r="A11" t="s">
        <v>14</v>
      </c>
      <c r="B11">
        <v>127176</v>
      </c>
      <c r="C11">
        <v>301521</v>
      </c>
      <c r="D11">
        <v>404350</v>
      </c>
      <c r="E11">
        <v>1248957</v>
      </c>
      <c r="F11" s="7">
        <v>746158.33333333337</v>
      </c>
      <c r="G11" s="7">
        <f t="shared" si="0"/>
        <v>629231</v>
      </c>
      <c r="H11" s="8">
        <f t="shared" si="1"/>
        <v>9.8206973013776189</v>
      </c>
      <c r="I11" s="8">
        <f t="shared" si="2"/>
        <v>3.1794520978801031</v>
      </c>
      <c r="J11" s="8">
        <f t="shared" si="3"/>
        <v>2.3708954519720704</v>
      </c>
      <c r="K11" s="8">
        <f t="shared" si="4"/>
        <v>5.8671316390933299</v>
      </c>
      <c r="L11" s="8">
        <f t="shared" si="5"/>
        <v>4.9477181229162737</v>
      </c>
    </row>
    <row r="12" spans="1:12" x14ac:dyDescent="0.25">
      <c r="A12" t="s">
        <v>15</v>
      </c>
      <c r="B12">
        <v>124305</v>
      </c>
      <c r="C12">
        <v>227985</v>
      </c>
      <c r="D12">
        <v>251816</v>
      </c>
      <c r="E12">
        <v>425782</v>
      </c>
      <c r="F12" s="7">
        <v>422655.66666666669</v>
      </c>
      <c r="G12" s="7">
        <f t="shared" si="0"/>
        <v>419856.5</v>
      </c>
      <c r="H12" s="8">
        <f t="shared" si="1"/>
        <v>3.4253006717348455</v>
      </c>
      <c r="I12" s="8">
        <f t="shared" si="2"/>
        <v>2.0257914001850286</v>
      </c>
      <c r="J12" s="8">
        <f t="shared" si="3"/>
        <v>1.8340774707372993</v>
      </c>
      <c r="K12" s="8">
        <f t="shared" si="4"/>
        <v>3.4001501682689086</v>
      </c>
      <c r="L12" s="8">
        <f t="shared" si="5"/>
        <v>3.3776316318732151</v>
      </c>
    </row>
    <row r="13" spans="1:12" x14ac:dyDescent="0.25">
      <c r="A13" t="s">
        <v>16</v>
      </c>
      <c r="B13">
        <v>121631</v>
      </c>
      <c r="C13">
        <v>282031</v>
      </c>
      <c r="D13">
        <v>339519</v>
      </c>
      <c r="E13">
        <v>563736</v>
      </c>
      <c r="F13" s="7">
        <v>417881.33333333331</v>
      </c>
      <c r="G13" s="7">
        <f t="shared" si="0"/>
        <v>500048.25</v>
      </c>
      <c r="H13" s="8">
        <f t="shared" si="1"/>
        <v>4.6348052716823833</v>
      </c>
      <c r="I13" s="8">
        <f t="shared" si="2"/>
        <v>2.7913854198354038</v>
      </c>
      <c r="J13" s="8">
        <f t="shared" si="3"/>
        <v>2.3187427547253576</v>
      </c>
      <c r="K13" s="8">
        <f t="shared" si="4"/>
        <v>3.4356482585305828</v>
      </c>
      <c r="L13" s="8">
        <f t="shared" si="5"/>
        <v>4.1111908148416108</v>
      </c>
    </row>
    <row r="14" spans="1:12" x14ac:dyDescent="0.25">
      <c r="A14" t="s">
        <v>17</v>
      </c>
      <c r="B14">
        <v>92801</v>
      </c>
      <c r="C14">
        <v>209804</v>
      </c>
      <c r="D14">
        <v>240934</v>
      </c>
      <c r="E14">
        <v>278449</v>
      </c>
      <c r="F14" s="7">
        <v>478819</v>
      </c>
      <c r="G14" s="7">
        <f t="shared" si="0"/>
        <v>517082.75</v>
      </c>
      <c r="H14" s="8">
        <f t="shared" si="1"/>
        <v>3.0004956843137465</v>
      </c>
      <c r="I14" s="8">
        <f t="shared" si="2"/>
        <v>2.5962435749614765</v>
      </c>
      <c r="J14" s="8">
        <f t="shared" si="3"/>
        <v>2.2607946035064277</v>
      </c>
      <c r="K14" s="8">
        <f t="shared" si="4"/>
        <v>5.1596319005183133</v>
      </c>
      <c r="L14" s="8">
        <f t="shared" si="5"/>
        <v>5.5719523496514043</v>
      </c>
    </row>
    <row r="15" spans="1:12" x14ac:dyDescent="0.25">
      <c r="A15" t="s">
        <v>18</v>
      </c>
      <c r="B15">
        <v>130861</v>
      </c>
      <c r="C15">
        <v>236240</v>
      </c>
      <c r="D15">
        <v>257482</v>
      </c>
      <c r="E15">
        <v>411459</v>
      </c>
      <c r="F15" s="7">
        <v>596627.33333333337</v>
      </c>
      <c r="G15" s="7">
        <f t="shared" si="0"/>
        <v>664654</v>
      </c>
      <c r="H15" s="8">
        <f t="shared" si="1"/>
        <v>3.1442446565439663</v>
      </c>
      <c r="I15" s="8">
        <f t="shared" si="2"/>
        <v>1.9675992083202787</v>
      </c>
      <c r="J15" s="8">
        <f t="shared" si="3"/>
        <v>1.8052742986833357</v>
      </c>
      <c r="K15" s="8">
        <f t="shared" si="4"/>
        <v>4.55924479664173</v>
      </c>
      <c r="L15" s="8">
        <f t="shared" si="5"/>
        <v>5.0790839134654329</v>
      </c>
    </row>
    <row r="16" spans="1:12" x14ac:dyDescent="0.25">
      <c r="A16" t="s">
        <v>19</v>
      </c>
      <c r="B16">
        <v>140995</v>
      </c>
      <c r="C16">
        <v>324970</v>
      </c>
      <c r="D16">
        <v>399426</v>
      </c>
      <c r="E16">
        <v>746549</v>
      </c>
      <c r="F16" s="7">
        <v>749052.33333333337</v>
      </c>
      <c r="G16" s="7">
        <f t="shared" si="0"/>
        <v>700154.5</v>
      </c>
      <c r="H16" s="8">
        <f t="shared" si="1"/>
        <v>5.2948615199120539</v>
      </c>
      <c r="I16" s="8">
        <f t="shared" si="2"/>
        <v>2.8329089684031348</v>
      </c>
      <c r="J16" s="8">
        <f t="shared" si="3"/>
        <v>2.3048335047342103</v>
      </c>
      <c r="K16" s="8">
        <f t="shared" si="4"/>
        <v>5.3126162866295497</v>
      </c>
      <c r="L16" s="8">
        <f t="shared" si="5"/>
        <v>4.9658108443561826</v>
      </c>
    </row>
    <row r="17" spans="1:12" x14ac:dyDescent="0.25">
      <c r="A17" t="s">
        <v>20</v>
      </c>
      <c r="B17">
        <v>159501</v>
      </c>
      <c r="C17">
        <v>343279</v>
      </c>
      <c r="D17">
        <v>395784</v>
      </c>
      <c r="E17">
        <v>631874</v>
      </c>
      <c r="F17" s="7">
        <v>684689.66666666663</v>
      </c>
      <c r="G17" s="7">
        <f t="shared" si="0"/>
        <v>630792.25</v>
      </c>
      <c r="H17" s="8">
        <f t="shared" si="1"/>
        <v>3.9615676390743633</v>
      </c>
      <c r="I17" s="8">
        <f t="shared" si="2"/>
        <v>2.4813888314179851</v>
      </c>
      <c r="J17" s="8">
        <f t="shared" si="3"/>
        <v>2.1522059422824937</v>
      </c>
      <c r="K17" s="8">
        <f t="shared" si="4"/>
        <v>4.2926982693943403</v>
      </c>
      <c r="L17" s="8">
        <f t="shared" si="5"/>
        <v>3.954785549933856</v>
      </c>
    </row>
    <row r="18" spans="1:12" x14ac:dyDescent="0.25">
      <c r="A18" t="s">
        <v>21</v>
      </c>
      <c r="B18">
        <v>148518</v>
      </c>
      <c r="C18">
        <v>317563</v>
      </c>
      <c r="D18">
        <v>371550</v>
      </c>
      <c r="E18">
        <v>868734</v>
      </c>
      <c r="F18" s="7">
        <v>630431.66666666663</v>
      </c>
      <c r="G18" s="7">
        <f t="shared" si="0"/>
        <v>683463</v>
      </c>
      <c r="H18" s="8">
        <f t="shared" si="1"/>
        <v>5.8493515937462126</v>
      </c>
      <c r="I18" s="8">
        <f t="shared" si="2"/>
        <v>2.5017169636003715</v>
      </c>
      <c r="J18" s="8">
        <f t="shared" si="3"/>
        <v>2.1382122032346249</v>
      </c>
      <c r="K18" s="8">
        <f t="shared" si="4"/>
        <v>4.2448165654443679</v>
      </c>
      <c r="L18" s="8">
        <f t="shared" si="5"/>
        <v>4.6018866400032321</v>
      </c>
    </row>
    <row r="19" spans="1:12" x14ac:dyDescent="0.25">
      <c r="A19" t="s">
        <v>22</v>
      </c>
      <c r="B19">
        <v>154338</v>
      </c>
      <c r="C19">
        <v>329914</v>
      </c>
      <c r="D19">
        <v>373122</v>
      </c>
      <c r="E19">
        <v>553461</v>
      </c>
      <c r="F19" s="7">
        <v>621706</v>
      </c>
      <c r="G19" s="7">
        <f t="shared" si="0"/>
        <v>711554</v>
      </c>
      <c r="H19" s="8">
        <f t="shared" si="1"/>
        <v>3.5860319558371887</v>
      </c>
      <c r="I19" s="8">
        <f t="shared" si="2"/>
        <v>2.4175640477393774</v>
      </c>
      <c r="J19" s="8">
        <f t="shared" si="3"/>
        <v>2.1376070701965815</v>
      </c>
      <c r="K19" s="8">
        <f t="shared" si="4"/>
        <v>4.0282108100403011</v>
      </c>
      <c r="L19" s="8">
        <f t="shared" si="5"/>
        <v>4.6103616737290878</v>
      </c>
    </row>
    <row r="20" spans="1:12" x14ac:dyDescent="0.25">
      <c r="A20" t="s">
        <v>23</v>
      </c>
      <c r="B20">
        <v>153354</v>
      </c>
      <c r="C20">
        <v>302769</v>
      </c>
      <c r="D20">
        <v>334557</v>
      </c>
      <c r="E20">
        <v>469100</v>
      </c>
      <c r="F20" s="7">
        <v>764251.66666666663</v>
      </c>
      <c r="H20" s="8">
        <f t="shared" si="1"/>
        <v>3.0589355347757476</v>
      </c>
      <c r="I20" s="8">
        <f t="shared" si="2"/>
        <v>2.1815994365976761</v>
      </c>
      <c r="J20" s="8">
        <f t="shared" si="3"/>
        <v>1.9743143315466176</v>
      </c>
      <c r="K20" s="8">
        <f t="shared" si="4"/>
        <v>4.9835783003160445</v>
      </c>
      <c r="L20" s="8"/>
    </row>
    <row r="21" spans="1:12" x14ac:dyDescent="0.25">
      <c r="A21" s="10" t="s">
        <v>24</v>
      </c>
      <c r="B21">
        <v>167691</v>
      </c>
      <c r="C21">
        <v>389781</v>
      </c>
      <c r="D21">
        <v>465434</v>
      </c>
      <c r="E21">
        <v>842557</v>
      </c>
      <c r="H21" s="8">
        <f t="shared" si="1"/>
        <v>5.0244616586459623</v>
      </c>
      <c r="I21" s="8">
        <f t="shared" si="2"/>
        <v>2.7755454973731446</v>
      </c>
      <c r="J21" s="8">
        <f t="shared" si="3"/>
        <v>2.3244002361486307</v>
      </c>
      <c r="K21" s="8"/>
      <c r="L21" s="8"/>
    </row>
    <row r="22" spans="1:12" x14ac:dyDescent="0.25">
      <c r="A22" s="11" t="s">
        <v>25</v>
      </c>
      <c r="B22">
        <v>187035</v>
      </c>
      <c r="C22">
        <v>515241</v>
      </c>
      <c r="D22">
        <v>627453</v>
      </c>
      <c r="E22">
        <v>981098</v>
      </c>
      <c r="H22" s="8">
        <f t="shared" si="1"/>
        <v>5.24553158499746</v>
      </c>
      <c r="I22" s="8">
        <f t="shared" si="2"/>
        <v>3.3547357446467241</v>
      </c>
      <c r="J22" s="8">
        <f t="shared" si="3"/>
        <v>2.7547838639826772</v>
      </c>
      <c r="K22" s="8"/>
      <c r="L22" s="8"/>
    </row>
    <row r="23" spans="1:12" x14ac:dyDescent="0.25">
      <c r="I23" s="8"/>
      <c r="J23" s="8"/>
      <c r="K23" s="8"/>
      <c r="L23" s="8"/>
    </row>
    <row r="24" spans="1:12" x14ac:dyDescent="0.25">
      <c r="A24" t="s">
        <v>26</v>
      </c>
      <c r="B24">
        <f>SUM(B4:B23)</f>
        <v>2350129.3170018578</v>
      </c>
      <c r="C24">
        <f t="shared" ref="C24:F24" si="6">SUM(C4:C23)</f>
        <v>5029146</v>
      </c>
      <c r="D24">
        <f t="shared" si="6"/>
        <v>5982791</v>
      </c>
      <c r="E24">
        <f t="shared" si="6"/>
        <v>10019731</v>
      </c>
      <c r="F24">
        <f t="shared" si="6"/>
        <v>8911945.333333334</v>
      </c>
      <c r="H24" s="8">
        <f t="shared" ref="H24:H25" si="7">E24/B24</f>
        <v>4.2634807061521709</v>
      </c>
      <c r="I24" s="8">
        <f t="shared" si="2"/>
        <v>2.5457284229926787</v>
      </c>
      <c r="J24" s="8">
        <f t="shared" si="3"/>
        <v>2.1399443697063689</v>
      </c>
      <c r="K24" s="8">
        <f t="shared" si="4"/>
        <v>3.7921084890352392</v>
      </c>
      <c r="L24" s="8"/>
    </row>
    <row r="25" spans="1:12" x14ac:dyDescent="0.25">
      <c r="A25" t="s">
        <v>27</v>
      </c>
      <c r="B25">
        <f>AVERAGE(B4:B22)</f>
        <v>123691.0166843083</v>
      </c>
      <c r="C25">
        <f t="shared" ref="C25:E25" si="8">AVERAGE(C4:C22)</f>
        <v>264691.89473684208</v>
      </c>
      <c r="D25">
        <f t="shared" si="8"/>
        <v>314883.73684210528</v>
      </c>
      <c r="E25">
        <f t="shared" si="8"/>
        <v>527354.26315789472</v>
      </c>
      <c r="F25" s="7">
        <f>AVERAGE(F4:F20)</f>
        <v>524232.07843137259</v>
      </c>
      <c r="H25" s="8">
        <f t="shared" si="7"/>
        <v>4.2634807061521709</v>
      </c>
      <c r="I25" s="8">
        <f t="shared" si="2"/>
        <v>2.5457284229926787</v>
      </c>
      <c r="J25" s="8">
        <f t="shared" si="3"/>
        <v>2.1399443697063689</v>
      </c>
      <c r="K25" s="8">
        <f t="shared" si="4"/>
        <v>4.238238899509974</v>
      </c>
      <c r="L25" s="8"/>
    </row>
    <row r="26" spans="1:12" x14ac:dyDescent="0.25">
      <c r="I26" s="8"/>
      <c r="J26" s="8"/>
      <c r="K26" s="8"/>
      <c r="L26" s="8"/>
    </row>
    <row r="27" spans="1:12" x14ac:dyDescent="0.25">
      <c r="A27" t="s">
        <v>31</v>
      </c>
      <c r="B27">
        <f>SUM(B4:B19)</f>
        <v>1842049.317001858</v>
      </c>
      <c r="C27">
        <f t="shared" ref="C27:G27" si="9">SUM(C4:C19)</f>
        <v>3821355</v>
      </c>
      <c r="D27">
        <f t="shared" si="9"/>
        <v>4555347</v>
      </c>
      <c r="E27">
        <f t="shared" si="9"/>
        <v>7726976</v>
      </c>
      <c r="F27">
        <f t="shared" si="9"/>
        <v>8147693.666666667</v>
      </c>
      <c r="G27">
        <f t="shared" si="9"/>
        <v>8481554</v>
      </c>
      <c r="H27" s="8">
        <f t="shared" ref="H27" si="10">E27/B27</f>
        <v>4.1947715127282912</v>
      </c>
      <c r="I27" s="8">
        <f t="shared" ref="I27" si="11">D27/B27</f>
        <v>2.4729777633827625</v>
      </c>
      <c r="J27" s="8">
        <f t="shared" ref="J27" si="12">C27/B27</f>
        <v>2.074512861696713</v>
      </c>
      <c r="K27" s="8">
        <f t="shared" ref="K27" si="13">F27/B27</f>
        <v>4.4231680397829702</v>
      </c>
      <c r="L27" s="8">
        <f t="shared" ref="L27" si="14">G27/B27</f>
        <v>4.6044120109686757</v>
      </c>
    </row>
    <row r="28" spans="1:12" x14ac:dyDescent="0.25">
      <c r="A28" t="s">
        <v>32</v>
      </c>
    </row>
    <row r="31" spans="1:12" x14ac:dyDescent="0.25">
      <c r="A31" t="s">
        <v>39</v>
      </c>
      <c r="B31">
        <f>SUM(B2:B8)</f>
        <v>438845.31700185809</v>
      </c>
      <c r="C31">
        <f t="shared" ref="C31:E31" si="15">SUM(C2:C8)</f>
        <v>1042523</v>
      </c>
      <c r="D31">
        <f t="shared" si="15"/>
        <v>1199771</v>
      </c>
      <c r="E31">
        <f t="shared" si="15"/>
        <v>1645214</v>
      </c>
    </row>
    <row r="32" spans="1:12" x14ac:dyDescent="0.25">
      <c r="A32" t="s">
        <v>40</v>
      </c>
      <c r="B32" s="7">
        <f>AVERAGE(B2:B8)</f>
        <v>87769.063400371611</v>
      </c>
      <c r="C32" s="7">
        <f t="shared" ref="C32:E32" si="16">AVERAGE(C2:C8)</f>
        <v>148931.85714285713</v>
      </c>
      <c r="D32" s="7">
        <f t="shared" si="16"/>
        <v>171395.85714285713</v>
      </c>
      <c r="E32" s="7">
        <f t="shared" si="16"/>
        <v>235030.57142857142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92A8-CE6E-4D1F-AC86-5CAF3E3BB72B}">
  <dimension ref="A1:L32"/>
  <sheetViews>
    <sheetView workbookViewId="0">
      <selection activeCell="F1" sqref="F1"/>
    </sheetView>
  </sheetViews>
  <sheetFormatPr defaultRowHeight="15" x14ac:dyDescent="0.25"/>
  <cols>
    <col min="8" max="9" width="13.1406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37</v>
      </c>
      <c r="C2">
        <v>186876</v>
      </c>
      <c r="D2">
        <v>224908</v>
      </c>
      <c r="E2">
        <v>631895</v>
      </c>
    </row>
    <row r="3" spans="1:12" x14ac:dyDescent="0.25">
      <c r="A3" t="s">
        <v>38</v>
      </c>
      <c r="C3">
        <v>166231</v>
      </c>
      <c r="D3">
        <v>187048</v>
      </c>
      <c r="E3">
        <v>258051</v>
      </c>
    </row>
    <row r="4" spans="1:12" x14ac:dyDescent="0.25">
      <c r="A4" t="s">
        <v>7</v>
      </c>
      <c r="B4" s="7">
        <v>121904.87072914153</v>
      </c>
      <c r="C4">
        <v>192166</v>
      </c>
      <c r="D4">
        <v>204399</v>
      </c>
      <c r="E4">
        <v>276898</v>
      </c>
      <c r="F4" s="7">
        <v>345882.33333333331</v>
      </c>
      <c r="G4" s="7">
        <f>AVERAGE(E4:E7)</f>
        <v>335248.75</v>
      </c>
      <c r="H4" s="8">
        <f>E4/B4</f>
        <v>2.27142687854725</v>
      </c>
      <c r="I4" s="8">
        <f>D4/B4</f>
        <v>1.6767090500768491</v>
      </c>
      <c r="J4" s="8">
        <f>C4/B4</f>
        <v>1.576360311533167</v>
      </c>
      <c r="K4" s="8">
        <f>F4/B4</f>
        <v>2.8373134827552846</v>
      </c>
      <c r="L4" s="8">
        <f>G4/B4</f>
        <v>2.7500849473429474</v>
      </c>
    </row>
    <row r="5" spans="1:12" x14ac:dyDescent="0.25">
      <c r="A5" s="9" t="s">
        <v>8</v>
      </c>
      <c r="B5" s="14">
        <v>103858</v>
      </c>
      <c r="C5" s="9">
        <v>173831</v>
      </c>
      <c r="D5" s="9">
        <v>199061</v>
      </c>
      <c r="E5" s="9">
        <v>345974</v>
      </c>
      <c r="F5" s="7">
        <v>354699</v>
      </c>
      <c r="G5" s="7">
        <f t="shared" ref="G5:G19" si="0">AVERAGE(E5:E8)</f>
        <v>343221.5</v>
      </c>
      <c r="H5" s="8">
        <f t="shared" ref="H5:H22" si="1">E5/B5</f>
        <v>3.3312214754761307</v>
      </c>
      <c r="I5" s="8">
        <f t="shared" ref="I5:I25" si="2">D5/B5</f>
        <v>1.916665061911456</v>
      </c>
      <c r="J5" s="8">
        <f t="shared" ref="J5:J25" si="3">C5/B5</f>
        <v>1.6737372181247472</v>
      </c>
      <c r="K5" s="8">
        <f t="shared" ref="K5:K25" si="4">F5/B5</f>
        <v>3.4152304107531437</v>
      </c>
      <c r="L5" s="8">
        <f t="shared" ref="L5:L19" si="5">G5/B5</f>
        <v>3.3047189431724084</v>
      </c>
    </row>
    <row r="6" spans="1:12" x14ac:dyDescent="0.25">
      <c r="A6" t="s">
        <v>9</v>
      </c>
      <c r="B6">
        <v>133294</v>
      </c>
      <c r="C6">
        <v>234682</v>
      </c>
      <c r="D6">
        <v>301190</v>
      </c>
      <c r="E6">
        <v>414775</v>
      </c>
      <c r="F6" s="7">
        <v>342304</v>
      </c>
      <c r="G6" s="7">
        <f t="shared" si="0"/>
        <v>364731.5</v>
      </c>
      <c r="H6" s="8">
        <f t="shared" si="1"/>
        <v>3.1117304604858433</v>
      </c>
      <c r="I6" s="8">
        <f t="shared" si="2"/>
        <v>2.2595915795159573</v>
      </c>
      <c r="J6" s="8">
        <f t="shared" si="3"/>
        <v>1.7606343871442076</v>
      </c>
      <c r="K6" s="8">
        <f t="shared" si="4"/>
        <v>2.5680375710834698</v>
      </c>
      <c r="L6" s="8">
        <f t="shared" si="5"/>
        <v>2.7362934565696881</v>
      </c>
    </row>
    <row r="7" spans="1:12" x14ac:dyDescent="0.25">
      <c r="A7" t="s">
        <v>10</v>
      </c>
      <c r="B7">
        <v>126654</v>
      </c>
      <c r="C7">
        <v>204082</v>
      </c>
      <c r="D7">
        <v>226781</v>
      </c>
      <c r="E7">
        <v>303348</v>
      </c>
      <c r="F7" s="7">
        <v>348050.33333333331</v>
      </c>
      <c r="G7" s="7">
        <f t="shared" si="0"/>
        <v>340672</v>
      </c>
      <c r="H7" s="8">
        <f t="shared" si="1"/>
        <v>2.3950921407930266</v>
      </c>
      <c r="I7" s="8">
        <f t="shared" si="2"/>
        <v>1.7905553713266062</v>
      </c>
      <c r="J7" s="8">
        <f t="shared" si="3"/>
        <v>1.6113348176922955</v>
      </c>
      <c r="K7" s="8">
        <f t="shared" si="4"/>
        <v>2.7480405935330374</v>
      </c>
      <c r="L7" s="8">
        <f t="shared" si="5"/>
        <v>2.6897847679504792</v>
      </c>
    </row>
    <row r="8" spans="1:12" x14ac:dyDescent="0.25">
      <c r="A8" t="s">
        <v>11</v>
      </c>
      <c r="B8">
        <v>127024</v>
      </c>
      <c r="C8">
        <v>191119</v>
      </c>
      <c r="D8">
        <v>206346</v>
      </c>
      <c r="E8">
        <v>308789</v>
      </c>
      <c r="F8" s="7">
        <v>353113.33333333331</v>
      </c>
      <c r="G8" s="7">
        <f t="shared" si="0"/>
        <v>502826.75</v>
      </c>
      <c r="H8" s="8">
        <f t="shared" si="1"/>
        <v>2.4309500566822018</v>
      </c>
      <c r="I8" s="8">
        <f t="shared" si="2"/>
        <v>1.6244646680942185</v>
      </c>
      <c r="J8" s="8">
        <f t="shared" si="3"/>
        <v>1.5045896838392745</v>
      </c>
      <c r="K8" s="8">
        <f t="shared" si="4"/>
        <v>2.7798946130914892</v>
      </c>
      <c r="L8" s="8">
        <f t="shared" si="5"/>
        <v>3.958517681697947</v>
      </c>
    </row>
    <row r="9" spans="1:12" x14ac:dyDescent="0.25">
      <c r="A9" t="s">
        <v>12</v>
      </c>
      <c r="B9">
        <v>109035</v>
      </c>
      <c r="C9">
        <v>165257</v>
      </c>
      <c r="D9">
        <v>239232</v>
      </c>
      <c r="E9">
        <v>432014</v>
      </c>
      <c r="F9" s="7">
        <v>567506</v>
      </c>
      <c r="G9" s="7">
        <f t="shared" si="0"/>
        <v>643354</v>
      </c>
      <c r="H9" s="8">
        <f t="shared" si="1"/>
        <v>3.9621589397899757</v>
      </c>
      <c r="I9" s="8">
        <f t="shared" si="2"/>
        <v>2.1940844682899985</v>
      </c>
      <c r="J9" s="8">
        <f t="shared" si="3"/>
        <v>1.5156325950382905</v>
      </c>
      <c r="K9" s="8">
        <f t="shared" si="4"/>
        <v>5.2048057963039387</v>
      </c>
      <c r="L9" s="8">
        <f t="shared" si="5"/>
        <v>5.900435639932132</v>
      </c>
    </row>
    <row r="10" spans="1:12" x14ac:dyDescent="0.25">
      <c r="A10" t="s">
        <v>13</v>
      </c>
      <c r="B10">
        <v>126368</v>
      </c>
      <c r="C10">
        <v>187415</v>
      </c>
      <c r="D10">
        <v>216638</v>
      </c>
      <c r="E10">
        <v>318537</v>
      </c>
      <c r="F10" s="7">
        <v>713800.66666666663</v>
      </c>
      <c r="G10" s="7">
        <f t="shared" si="0"/>
        <v>721252.75</v>
      </c>
      <c r="H10" s="8">
        <f t="shared" si="1"/>
        <v>2.5207093567991898</v>
      </c>
      <c r="I10" s="8">
        <f t="shared" si="2"/>
        <v>1.7143422385414029</v>
      </c>
      <c r="J10" s="8">
        <f t="shared" si="3"/>
        <v>1.4830890731830844</v>
      </c>
      <c r="K10" s="8">
        <f t="shared" si="4"/>
        <v>5.6485871950704816</v>
      </c>
      <c r="L10" s="8">
        <f t="shared" si="5"/>
        <v>5.707558479994935</v>
      </c>
    </row>
    <row r="11" spans="1:12" x14ac:dyDescent="0.25">
      <c r="A11" t="s">
        <v>14</v>
      </c>
      <c r="B11">
        <v>152876</v>
      </c>
      <c r="C11">
        <v>286055</v>
      </c>
      <c r="D11">
        <v>351437</v>
      </c>
      <c r="E11">
        <v>951967</v>
      </c>
      <c r="F11" s="7">
        <v>855491.33333333337</v>
      </c>
      <c r="G11" s="7">
        <f t="shared" si="0"/>
        <v>721581.75</v>
      </c>
      <c r="H11" s="8">
        <f t="shared" si="1"/>
        <v>6.2270532980978048</v>
      </c>
      <c r="I11" s="8">
        <f t="shared" si="2"/>
        <v>2.2988369659070096</v>
      </c>
      <c r="J11" s="8">
        <f t="shared" si="3"/>
        <v>1.8711570161438029</v>
      </c>
      <c r="K11" s="8">
        <f t="shared" si="4"/>
        <v>5.5959819287091062</v>
      </c>
      <c r="L11" s="8">
        <f t="shared" si="5"/>
        <v>4.7200459849812919</v>
      </c>
    </row>
    <row r="12" spans="1:12" x14ac:dyDescent="0.25">
      <c r="A12" t="s">
        <v>15</v>
      </c>
      <c r="B12">
        <v>201738</v>
      </c>
      <c r="C12">
        <v>351442</v>
      </c>
      <c r="D12">
        <v>426843</v>
      </c>
      <c r="E12">
        <v>870898</v>
      </c>
      <c r="F12" s="7">
        <v>644786.66666666663</v>
      </c>
      <c r="G12" s="7">
        <f t="shared" si="0"/>
        <v>669432.75</v>
      </c>
      <c r="H12" s="8">
        <f t="shared" si="1"/>
        <v>4.3169754830522757</v>
      </c>
      <c r="I12" s="8">
        <f t="shared" si="2"/>
        <v>2.1158284507628706</v>
      </c>
      <c r="J12" s="8">
        <f t="shared" si="3"/>
        <v>1.7420713995380146</v>
      </c>
      <c r="K12" s="8">
        <f t="shared" si="4"/>
        <v>3.196158714107737</v>
      </c>
      <c r="L12" s="8">
        <f t="shared" si="5"/>
        <v>3.3183274841626269</v>
      </c>
    </row>
    <row r="13" spans="1:12" x14ac:dyDescent="0.25">
      <c r="A13" t="s">
        <v>16</v>
      </c>
      <c r="B13">
        <v>173437</v>
      </c>
      <c r="C13">
        <v>278775</v>
      </c>
      <c r="D13">
        <v>325395</v>
      </c>
      <c r="E13">
        <v>743609</v>
      </c>
      <c r="F13" s="7">
        <v>602277.66666666663</v>
      </c>
      <c r="G13" s="7">
        <f t="shared" si="0"/>
        <v>598076.75</v>
      </c>
      <c r="H13" s="8">
        <f t="shared" si="1"/>
        <v>4.2874876756401461</v>
      </c>
      <c r="I13" s="8">
        <f t="shared" si="2"/>
        <v>1.8761567600915605</v>
      </c>
      <c r="J13" s="8">
        <f t="shared" si="3"/>
        <v>1.6073559851704078</v>
      </c>
      <c r="K13" s="8">
        <f t="shared" si="4"/>
        <v>3.47260196305671</v>
      </c>
      <c r="L13" s="8">
        <f t="shared" si="5"/>
        <v>3.4483803917272553</v>
      </c>
    </row>
    <row r="14" spans="1:12" x14ac:dyDescent="0.25">
      <c r="A14" t="s">
        <v>17</v>
      </c>
      <c r="B14">
        <v>121270</v>
      </c>
      <c r="C14">
        <v>218491</v>
      </c>
      <c r="D14">
        <v>245088</v>
      </c>
      <c r="E14">
        <v>319853</v>
      </c>
      <c r="F14" s="7">
        <v>549566</v>
      </c>
      <c r="G14" s="7">
        <f t="shared" si="0"/>
        <v>505218.75</v>
      </c>
      <c r="H14" s="8">
        <f t="shared" si="1"/>
        <v>2.6375278304609551</v>
      </c>
      <c r="I14" s="8">
        <f t="shared" si="2"/>
        <v>2.0210109672631318</v>
      </c>
      <c r="J14" s="8">
        <f t="shared" si="3"/>
        <v>1.8016904428135565</v>
      </c>
      <c r="K14" s="8">
        <f t="shared" si="4"/>
        <v>4.5317555867073471</v>
      </c>
      <c r="L14" s="8">
        <f t="shared" si="5"/>
        <v>4.1660653912756658</v>
      </c>
    </row>
    <row r="15" spans="1:12" x14ac:dyDescent="0.25">
      <c r="A15" t="s">
        <v>18</v>
      </c>
      <c r="B15">
        <v>191605</v>
      </c>
      <c r="C15">
        <v>295640</v>
      </c>
      <c r="D15">
        <v>316782</v>
      </c>
      <c r="E15">
        <v>743371</v>
      </c>
      <c r="F15" s="7">
        <v>567007.33333333337</v>
      </c>
      <c r="G15" s="7">
        <f t="shared" si="0"/>
        <v>730920.25</v>
      </c>
      <c r="H15" s="8">
        <f t="shared" si="1"/>
        <v>3.8797056444247278</v>
      </c>
      <c r="I15" s="8">
        <f t="shared" si="2"/>
        <v>1.6533075859189479</v>
      </c>
      <c r="J15" s="8">
        <f t="shared" si="3"/>
        <v>1.5429659977557997</v>
      </c>
      <c r="K15" s="8">
        <f t="shared" si="4"/>
        <v>2.9592512373546271</v>
      </c>
      <c r="L15" s="8">
        <f t="shared" si="5"/>
        <v>3.8147243026017068</v>
      </c>
    </row>
    <row r="16" spans="1:12" x14ac:dyDescent="0.25">
      <c r="A16" t="s">
        <v>19</v>
      </c>
      <c r="B16">
        <v>206786</v>
      </c>
      <c r="C16">
        <v>347854</v>
      </c>
      <c r="D16">
        <v>392103</v>
      </c>
      <c r="E16">
        <v>585474</v>
      </c>
      <c r="F16" s="7">
        <v>726770</v>
      </c>
      <c r="G16" s="7">
        <f t="shared" si="0"/>
        <v>695633.25</v>
      </c>
      <c r="H16" s="8">
        <f t="shared" si="1"/>
        <v>2.8313038600292089</v>
      </c>
      <c r="I16" s="8">
        <f t="shared" si="2"/>
        <v>1.8961776909461956</v>
      </c>
      <c r="J16" s="8">
        <f t="shared" si="3"/>
        <v>1.6821931852253054</v>
      </c>
      <c r="K16" s="8">
        <f t="shared" si="4"/>
        <v>3.5145996344046502</v>
      </c>
      <c r="L16" s="8">
        <f t="shared" si="5"/>
        <v>3.3640248856305552</v>
      </c>
    </row>
    <row r="17" spans="1:12" x14ac:dyDescent="0.25">
      <c r="A17" t="s">
        <v>20</v>
      </c>
      <c r="B17">
        <v>202711</v>
      </c>
      <c r="C17">
        <v>295527</v>
      </c>
      <c r="D17">
        <v>318399</v>
      </c>
      <c r="E17">
        <v>372177</v>
      </c>
      <c r="F17" s="7">
        <v>732353</v>
      </c>
      <c r="G17" s="7">
        <f t="shared" si="0"/>
        <v>738790</v>
      </c>
      <c r="H17" s="8">
        <f t="shared" si="1"/>
        <v>1.8359980464799641</v>
      </c>
      <c r="I17" s="8">
        <f t="shared" si="2"/>
        <v>1.5707041058452673</v>
      </c>
      <c r="J17" s="8">
        <f t="shared" si="3"/>
        <v>1.4578735243770689</v>
      </c>
      <c r="K17" s="8">
        <f t="shared" si="4"/>
        <v>3.6127935829826701</v>
      </c>
      <c r="L17" s="8">
        <f t="shared" si="5"/>
        <v>3.6445481498290668</v>
      </c>
    </row>
    <row r="18" spans="1:12" x14ac:dyDescent="0.25">
      <c r="A18" t="s">
        <v>21</v>
      </c>
      <c r="B18">
        <v>160353</v>
      </c>
      <c r="C18">
        <v>349043</v>
      </c>
      <c r="D18">
        <v>417465</v>
      </c>
      <c r="E18">
        <v>1222659</v>
      </c>
      <c r="F18" s="7">
        <v>860994.33333333337</v>
      </c>
      <c r="G18" s="7">
        <f t="shared" si="0"/>
        <v>777172.25</v>
      </c>
      <c r="H18" s="8">
        <f t="shared" si="1"/>
        <v>7.624796542627827</v>
      </c>
      <c r="I18" s="8">
        <f t="shared" si="2"/>
        <v>2.603412471235337</v>
      </c>
      <c r="J18" s="8">
        <f t="shared" si="3"/>
        <v>2.1767163695097689</v>
      </c>
      <c r="K18" s="8">
        <f t="shared" si="4"/>
        <v>5.3693684142693519</v>
      </c>
      <c r="L18" s="8">
        <f t="shared" si="5"/>
        <v>4.846633676950229</v>
      </c>
    </row>
    <row r="19" spans="1:12" x14ac:dyDescent="0.25">
      <c r="A19" t="s">
        <v>22</v>
      </c>
      <c r="B19">
        <v>136944</v>
      </c>
      <c r="C19">
        <v>354180</v>
      </c>
      <c r="D19">
        <v>405920</v>
      </c>
      <c r="E19">
        <v>602223</v>
      </c>
      <c r="F19" s="7">
        <v>628676.66666666663</v>
      </c>
      <c r="G19" s="7">
        <f t="shared" si="0"/>
        <v>752690.75</v>
      </c>
      <c r="H19" s="8">
        <f t="shared" si="1"/>
        <v>4.3975858745180512</v>
      </c>
      <c r="I19" s="8">
        <f t="shared" si="2"/>
        <v>2.9641313237527749</v>
      </c>
      <c r="J19" s="8">
        <f t="shared" si="3"/>
        <v>2.5863126533473535</v>
      </c>
      <c r="K19" s="8">
        <f t="shared" si="4"/>
        <v>4.590757292518596</v>
      </c>
      <c r="L19" s="8">
        <f t="shared" si="5"/>
        <v>5.4963397447131674</v>
      </c>
    </row>
    <row r="20" spans="1:12" x14ac:dyDescent="0.25">
      <c r="A20" t="s">
        <v>23</v>
      </c>
      <c r="B20">
        <v>166397</v>
      </c>
      <c r="C20">
        <v>349116</v>
      </c>
      <c r="D20">
        <v>393948</v>
      </c>
      <c r="E20">
        <v>758101</v>
      </c>
      <c r="F20" s="7">
        <v>802846.66666666663</v>
      </c>
      <c r="H20" s="8">
        <f t="shared" si="1"/>
        <v>4.5559775717110282</v>
      </c>
      <c r="I20" s="8">
        <f t="shared" si="2"/>
        <v>2.3675186451678818</v>
      </c>
      <c r="J20" s="8">
        <f t="shared" si="3"/>
        <v>2.098090710770026</v>
      </c>
      <c r="K20" s="8">
        <f t="shared" si="4"/>
        <v>4.8248866666266013</v>
      </c>
      <c r="L20" s="8"/>
    </row>
    <row r="21" spans="1:12" x14ac:dyDescent="0.25">
      <c r="A21" s="10" t="s">
        <v>24</v>
      </c>
      <c r="B21">
        <v>125384</v>
      </c>
      <c r="C21">
        <v>426344</v>
      </c>
      <c r="D21">
        <v>471695</v>
      </c>
      <c r="E21">
        <v>525706</v>
      </c>
      <c r="H21" s="8">
        <f t="shared" si="1"/>
        <v>4.1927678172653611</v>
      </c>
      <c r="I21" s="8">
        <f t="shared" si="2"/>
        <v>3.7620031263957125</v>
      </c>
      <c r="J21" s="8">
        <f t="shared" si="3"/>
        <v>3.4003062591718241</v>
      </c>
      <c r="K21" s="8"/>
      <c r="L21" s="8"/>
    </row>
    <row r="22" spans="1:12" x14ac:dyDescent="0.25">
      <c r="A22" s="11" t="s">
        <v>25</v>
      </c>
      <c r="B22">
        <v>137899</v>
      </c>
      <c r="C22">
        <v>292447</v>
      </c>
      <c r="D22">
        <v>350891</v>
      </c>
      <c r="E22">
        <v>1124733</v>
      </c>
      <c r="H22" s="8">
        <f t="shared" si="1"/>
        <v>8.1562085294309608</v>
      </c>
      <c r="I22" s="8">
        <f t="shared" si="2"/>
        <v>2.5445507219051624</v>
      </c>
      <c r="J22" s="8">
        <f t="shared" si="3"/>
        <v>2.1207332903066738</v>
      </c>
      <c r="K22" s="8"/>
      <c r="L22" s="8"/>
    </row>
    <row r="23" spans="1:12" x14ac:dyDescent="0.25">
      <c r="I23" s="8"/>
      <c r="J23" s="8"/>
      <c r="K23" s="8"/>
      <c r="L23" s="8"/>
    </row>
    <row r="24" spans="1:12" x14ac:dyDescent="0.25">
      <c r="A24" t="s">
        <v>26</v>
      </c>
      <c r="B24">
        <f>SUM(B4:B23)</f>
        <v>2825537.8707291414</v>
      </c>
      <c r="C24">
        <f t="shared" ref="C24:F24" si="6">SUM(C4:C23)</f>
        <v>5193466</v>
      </c>
      <c r="D24">
        <f t="shared" si="6"/>
        <v>6009613</v>
      </c>
      <c r="E24">
        <f t="shared" si="6"/>
        <v>11221106</v>
      </c>
      <c r="F24">
        <f t="shared" si="6"/>
        <v>9996125.3333333321</v>
      </c>
      <c r="H24" s="8">
        <f t="shared" ref="H24:H25" si="7">E24/B24</f>
        <v>3.9713167946690264</v>
      </c>
      <c r="I24" s="8">
        <f t="shared" si="2"/>
        <v>2.1268916839713761</v>
      </c>
      <c r="J24" s="8">
        <f t="shared" si="3"/>
        <v>1.838045086495268</v>
      </c>
      <c r="K24" s="8">
        <f t="shared" si="4"/>
        <v>3.5377778641323934</v>
      </c>
      <c r="L24" s="8"/>
    </row>
    <row r="25" spans="1:12" x14ac:dyDescent="0.25">
      <c r="A25" t="s">
        <v>27</v>
      </c>
      <c r="B25">
        <f>AVERAGE(B4:B22)</f>
        <v>148712.51951206007</v>
      </c>
      <c r="C25">
        <f t="shared" ref="C25:E25" si="8">AVERAGE(C4:C22)</f>
        <v>273340.31578947371</v>
      </c>
      <c r="D25">
        <f t="shared" si="8"/>
        <v>316295.42105263157</v>
      </c>
      <c r="E25">
        <f t="shared" si="8"/>
        <v>590584.52631578944</v>
      </c>
      <c r="F25" s="7">
        <f>AVERAGE(F4:F20)</f>
        <v>588007.37254901952</v>
      </c>
      <c r="H25" s="8">
        <f t="shared" si="7"/>
        <v>3.9713167946690264</v>
      </c>
      <c r="I25" s="8">
        <f t="shared" si="2"/>
        <v>2.1268916839713761</v>
      </c>
      <c r="J25" s="8">
        <f t="shared" si="3"/>
        <v>1.8380450864952682</v>
      </c>
      <c r="K25" s="8">
        <f t="shared" si="4"/>
        <v>3.9539870246185571</v>
      </c>
      <c r="L25" s="8"/>
    </row>
    <row r="26" spans="1:12" x14ac:dyDescent="0.25">
      <c r="I26" s="8"/>
      <c r="J26" s="8"/>
      <c r="K26" s="8"/>
      <c r="L26" s="8"/>
    </row>
    <row r="27" spans="1:12" x14ac:dyDescent="0.25">
      <c r="A27" t="s">
        <v>31</v>
      </c>
      <c r="B27">
        <f>SUM(B4:B19)</f>
        <v>2395857.8707291414</v>
      </c>
      <c r="C27">
        <f t="shared" ref="C27:G27" si="9">SUM(C4:C19)</f>
        <v>4125559</v>
      </c>
      <c r="D27">
        <f t="shared" si="9"/>
        <v>4793079</v>
      </c>
      <c r="E27">
        <f t="shared" si="9"/>
        <v>8812566</v>
      </c>
      <c r="F27">
        <f t="shared" si="9"/>
        <v>9193278.666666666</v>
      </c>
      <c r="G27">
        <f t="shared" si="9"/>
        <v>9440823.75</v>
      </c>
      <c r="H27" s="8">
        <f t="shared" ref="H27" si="10">E27/B27</f>
        <v>3.6782507458666718</v>
      </c>
      <c r="I27" s="8">
        <f t="shared" ref="I27" si="11">D27/B27</f>
        <v>2.0005690064333002</v>
      </c>
      <c r="J27" s="8">
        <f t="shared" ref="J27" si="12">C27/B27</f>
        <v>1.7219548164367744</v>
      </c>
      <c r="K27" s="8">
        <f t="shared" ref="K27" si="13">F27/B27</f>
        <v>3.8371552749365878</v>
      </c>
      <c r="L27" s="8">
        <f t="shared" ref="L27" si="14">G27/B27</f>
        <v>3.940477381960406</v>
      </c>
    </row>
    <row r="28" spans="1:12" x14ac:dyDescent="0.25">
      <c r="A28" t="s">
        <v>32</v>
      </c>
    </row>
    <row r="31" spans="1:12" x14ac:dyDescent="0.25">
      <c r="A31" t="s">
        <v>39</v>
      </c>
      <c r="B31">
        <f>SUM(B2:B8)</f>
        <v>612734.87072914152</v>
      </c>
      <c r="C31">
        <f t="shared" ref="C31:E31" si="15">SUM(C2:C8)</f>
        <v>1348987</v>
      </c>
      <c r="D31">
        <f t="shared" si="15"/>
        <v>1549733</v>
      </c>
      <c r="E31">
        <f t="shared" si="15"/>
        <v>2539730</v>
      </c>
    </row>
    <row r="32" spans="1:12" x14ac:dyDescent="0.25">
      <c r="A32" t="s">
        <v>40</v>
      </c>
      <c r="B32" s="7">
        <f>AVERAGE(B2:B8)</f>
        <v>122546.97414582831</v>
      </c>
      <c r="C32" s="7">
        <f t="shared" ref="C32:E32" si="16">AVERAGE(C2:C8)</f>
        <v>192712.42857142858</v>
      </c>
      <c r="D32" s="7">
        <f t="shared" si="16"/>
        <v>221390.42857142858</v>
      </c>
      <c r="E32" s="7">
        <f t="shared" si="16"/>
        <v>362818.57142857142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81BC-8904-4EB7-8F8E-E790096BC47A}">
  <dimension ref="A1:L32"/>
  <sheetViews>
    <sheetView workbookViewId="0">
      <selection activeCell="F1" sqref="F1"/>
    </sheetView>
  </sheetViews>
  <sheetFormatPr defaultRowHeight="15" x14ac:dyDescent="0.25"/>
  <cols>
    <col min="8" max="9" width="13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37</v>
      </c>
      <c r="C2">
        <v>130129</v>
      </c>
      <c r="D2">
        <v>148109</v>
      </c>
      <c r="E2">
        <v>148109</v>
      </c>
    </row>
    <row r="3" spans="1:12" x14ac:dyDescent="0.25">
      <c r="A3" t="s">
        <v>38</v>
      </c>
      <c r="C3">
        <v>135225</v>
      </c>
      <c r="D3">
        <v>137599</v>
      </c>
      <c r="E3">
        <v>190636</v>
      </c>
    </row>
    <row r="4" spans="1:12" x14ac:dyDescent="0.25">
      <c r="A4" t="s">
        <v>7</v>
      </c>
      <c r="B4" s="7">
        <v>105706.61136293659</v>
      </c>
      <c r="C4">
        <v>136082</v>
      </c>
      <c r="D4">
        <v>141988</v>
      </c>
      <c r="E4">
        <v>141988</v>
      </c>
      <c r="F4" s="7">
        <v>141920.66666666666</v>
      </c>
      <c r="G4" s="7">
        <f>AVERAGE(E4:E7)</f>
        <v>131120</v>
      </c>
      <c r="H4" s="8">
        <f>E4/B4</f>
        <v>1.3432272416007518</v>
      </c>
      <c r="I4" s="8">
        <f>D4/B4</f>
        <v>1.3432272416007518</v>
      </c>
      <c r="J4" s="8">
        <f>C4/B4</f>
        <v>1.287355618020632</v>
      </c>
      <c r="K4" s="8">
        <f>F4/B4</f>
        <v>1.3425902584218836</v>
      </c>
      <c r="L4" s="8">
        <f>G4/B4</f>
        <v>1.2404143724729595</v>
      </c>
    </row>
    <row r="5" spans="1:12" x14ac:dyDescent="0.25">
      <c r="A5" s="9" t="s">
        <v>8</v>
      </c>
      <c r="B5" s="14">
        <v>136869</v>
      </c>
      <c r="C5" s="9">
        <v>179919</v>
      </c>
      <c r="D5" s="9">
        <v>179919</v>
      </c>
      <c r="E5" s="9">
        <v>179919</v>
      </c>
      <c r="F5" s="7">
        <v>127497.33333333333</v>
      </c>
      <c r="G5" s="7">
        <f t="shared" ref="G5:G19" si="0">AVERAGE(E5:E8)</f>
        <v>139885.25</v>
      </c>
      <c r="H5" s="8">
        <f t="shared" ref="H5:H22" si="1">E5/B5</f>
        <v>1.3145343357517041</v>
      </c>
      <c r="I5" s="8">
        <f t="shared" ref="I5:I25" si="2">D5/B5</f>
        <v>1.3145343357517041</v>
      </c>
      <c r="J5" s="8">
        <f t="shared" ref="J5:J25" si="3">C5/B5</f>
        <v>1.3145343357517041</v>
      </c>
      <c r="K5" s="8">
        <f t="shared" ref="K5:K25" si="4">F5/B5</f>
        <v>0.93152820093179123</v>
      </c>
      <c r="L5" s="8">
        <f t="shared" ref="L5:L19" si="5">G5/B5</f>
        <v>1.0220374957075744</v>
      </c>
    </row>
    <row r="6" spans="1:12" x14ac:dyDescent="0.25">
      <c r="A6" t="s">
        <v>9</v>
      </c>
      <c r="B6">
        <v>86378</v>
      </c>
      <c r="C6">
        <v>101661</v>
      </c>
      <c r="D6">
        <v>103855</v>
      </c>
      <c r="E6">
        <v>103855</v>
      </c>
      <c r="F6" s="7">
        <v>126540.66666666667</v>
      </c>
      <c r="G6" s="7">
        <f t="shared" si="0"/>
        <v>132266.75</v>
      </c>
      <c r="H6" s="8">
        <f t="shared" si="1"/>
        <v>1.2023316122160734</v>
      </c>
      <c r="I6" s="8">
        <f t="shared" si="2"/>
        <v>1.2023316122160734</v>
      </c>
      <c r="J6" s="8">
        <f t="shared" si="3"/>
        <v>1.1769316261084999</v>
      </c>
      <c r="K6" s="8">
        <f t="shared" si="4"/>
        <v>1.4649640726419537</v>
      </c>
      <c r="L6" s="8">
        <f t="shared" si="5"/>
        <v>1.5312550649470931</v>
      </c>
    </row>
    <row r="7" spans="1:12" x14ac:dyDescent="0.25">
      <c r="A7" t="s">
        <v>10</v>
      </c>
      <c r="B7">
        <v>85999</v>
      </c>
      <c r="C7">
        <v>98718</v>
      </c>
      <c r="D7">
        <v>98718</v>
      </c>
      <c r="E7">
        <v>98718</v>
      </c>
      <c r="F7" s="7">
        <v>141737.33333333334</v>
      </c>
      <c r="G7" s="7">
        <f t="shared" si="0"/>
        <v>132143.75</v>
      </c>
      <c r="H7" s="8">
        <f t="shared" si="1"/>
        <v>1.1478970685705647</v>
      </c>
      <c r="I7" s="8">
        <f t="shared" si="2"/>
        <v>1.1478970685705647</v>
      </c>
      <c r="J7" s="8">
        <f t="shared" si="3"/>
        <v>1.1478970685705647</v>
      </c>
      <c r="K7" s="8">
        <f t="shared" si="4"/>
        <v>1.6481276914072645</v>
      </c>
      <c r="L7" s="8">
        <f t="shared" si="5"/>
        <v>1.5365730996872056</v>
      </c>
    </row>
    <row r="8" spans="1:12" x14ac:dyDescent="0.25">
      <c r="A8" t="s">
        <v>11</v>
      </c>
      <c r="B8">
        <v>104406</v>
      </c>
      <c r="C8">
        <v>135015</v>
      </c>
      <c r="D8">
        <v>169214</v>
      </c>
      <c r="E8">
        <v>177049</v>
      </c>
      <c r="F8" s="7">
        <v>143285.66666666666</v>
      </c>
      <c r="G8" s="7">
        <f t="shared" si="0"/>
        <v>163964</v>
      </c>
      <c r="H8" s="8">
        <f t="shared" si="1"/>
        <v>1.6957741892228415</v>
      </c>
      <c r="I8" s="8">
        <f t="shared" si="2"/>
        <v>1.6207306093519529</v>
      </c>
      <c r="J8" s="8">
        <f t="shared" si="3"/>
        <v>1.2931728061605654</v>
      </c>
      <c r="K8" s="8">
        <f t="shared" si="4"/>
        <v>1.3723891985773486</v>
      </c>
      <c r="L8" s="8">
        <f t="shared" si="5"/>
        <v>1.5704461429419765</v>
      </c>
    </row>
    <row r="9" spans="1:12" x14ac:dyDescent="0.25">
      <c r="A9" t="s">
        <v>12</v>
      </c>
      <c r="B9">
        <v>83818</v>
      </c>
      <c r="C9">
        <v>138674</v>
      </c>
      <c r="D9">
        <v>149445</v>
      </c>
      <c r="E9">
        <v>149445</v>
      </c>
      <c r="F9" s="7">
        <v>159602.33333333334</v>
      </c>
      <c r="G9" s="7">
        <f t="shared" si="0"/>
        <v>175113.5</v>
      </c>
      <c r="H9" s="8">
        <f t="shared" si="1"/>
        <v>1.7829702450547615</v>
      </c>
      <c r="I9" s="8">
        <f t="shared" si="2"/>
        <v>1.7829702450547615</v>
      </c>
      <c r="J9" s="8">
        <f t="shared" si="3"/>
        <v>1.6544656279080865</v>
      </c>
      <c r="K9" s="8">
        <f t="shared" si="4"/>
        <v>1.9041534435721843</v>
      </c>
      <c r="L9" s="8">
        <f t="shared" si="5"/>
        <v>2.0892111479634448</v>
      </c>
    </row>
    <row r="10" spans="1:12" x14ac:dyDescent="0.25">
      <c r="A10" t="s">
        <v>13</v>
      </c>
      <c r="B10">
        <v>99495</v>
      </c>
      <c r="C10">
        <v>103363</v>
      </c>
      <c r="D10">
        <v>103363</v>
      </c>
      <c r="E10">
        <v>103363</v>
      </c>
      <c r="F10" s="7">
        <v>183669.66666666666</v>
      </c>
      <c r="G10" s="7">
        <f t="shared" si="0"/>
        <v>199055.5</v>
      </c>
      <c r="H10" s="8">
        <f t="shared" si="1"/>
        <v>1.0388763254434896</v>
      </c>
      <c r="I10" s="8">
        <f t="shared" si="2"/>
        <v>1.0388763254434896</v>
      </c>
      <c r="J10" s="8">
        <f t="shared" si="3"/>
        <v>1.0388763254434896</v>
      </c>
      <c r="K10" s="8">
        <f t="shared" si="4"/>
        <v>1.8460190629344857</v>
      </c>
      <c r="L10" s="8">
        <f t="shared" si="5"/>
        <v>2.0006583245389216</v>
      </c>
    </row>
    <row r="11" spans="1:12" x14ac:dyDescent="0.25">
      <c r="A11" t="s">
        <v>14</v>
      </c>
      <c r="B11">
        <v>116272</v>
      </c>
      <c r="C11">
        <v>150630</v>
      </c>
      <c r="D11">
        <v>162615</v>
      </c>
      <c r="E11">
        <v>225999</v>
      </c>
      <c r="F11" s="7">
        <v>230953</v>
      </c>
      <c r="G11" s="7">
        <f t="shared" si="0"/>
        <v>213834.25</v>
      </c>
      <c r="H11" s="8">
        <f t="shared" si="1"/>
        <v>1.9437095775423145</v>
      </c>
      <c r="I11" s="8">
        <f t="shared" si="2"/>
        <v>1.3985740333012247</v>
      </c>
      <c r="J11" s="8">
        <f t="shared" si="3"/>
        <v>1.2954967662033852</v>
      </c>
      <c r="K11" s="8">
        <f t="shared" si="4"/>
        <v>1.9863165680473374</v>
      </c>
      <c r="L11" s="8">
        <f t="shared" si="5"/>
        <v>1.8390863664510801</v>
      </c>
    </row>
    <row r="12" spans="1:12" x14ac:dyDescent="0.25">
      <c r="A12" t="s">
        <v>15</v>
      </c>
      <c r="B12">
        <v>154743</v>
      </c>
      <c r="C12">
        <v>208386</v>
      </c>
      <c r="D12">
        <v>219252</v>
      </c>
      <c r="E12">
        <v>221647</v>
      </c>
      <c r="F12" s="7">
        <v>209779.33333333334</v>
      </c>
      <c r="G12" s="7">
        <f t="shared" si="0"/>
        <v>217054.5</v>
      </c>
      <c r="H12" s="8">
        <f t="shared" si="1"/>
        <v>1.4323555831281545</v>
      </c>
      <c r="I12" s="8">
        <f t="shared" si="2"/>
        <v>1.4168783079040732</v>
      </c>
      <c r="J12" s="8">
        <f t="shared" si="3"/>
        <v>1.3466586533801206</v>
      </c>
      <c r="K12" s="8">
        <f t="shared" si="4"/>
        <v>1.3556628301980274</v>
      </c>
      <c r="L12" s="8">
        <f t="shared" si="5"/>
        <v>1.4026773424322909</v>
      </c>
    </row>
    <row r="13" spans="1:12" x14ac:dyDescent="0.25">
      <c r="A13" t="s">
        <v>16</v>
      </c>
      <c r="B13">
        <v>150758</v>
      </c>
      <c r="C13">
        <v>204000</v>
      </c>
      <c r="D13">
        <v>214884</v>
      </c>
      <c r="E13">
        <v>245213</v>
      </c>
      <c r="F13" s="7">
        <v>215523.66666666666</v>
      </c>
      <c r="G13" s="7">
        <f t="shared" si="0"/>
        <v>206554.5</v>
      </c>
      <c r="H13" s="8">
        <f t="shared" si="1"/>
        <v>1.6265339152814444</v>
      </c>
      <c r="I13" s="8">
        <f t="shared" si="2"/>
        <v>1.4253571949747277</v>
      </c>
      <c r="J13" s="8">
        <f t="shared" si="3"/>
        <v>1.3531620212526034</v>
      </c>
      <c r="K13" s="8">
        <f t="shared" si="4"/>
        <v>1.4296001981099953</v>
      </c>
      <c r="L13" s="8">
        <f t="shared" si="5"/>
        <v>1.3701063956804946</v>
      </c>
    </row>
    <row r="14" spans="1:12" x14ac:dyDescent="0.25">
      <c r="A14" t="s">
        <v>17</v>
      </c>
      <c r="B14">
        <v>126018</v>
      </c>
      <c r="C14">
        <v>162478</v>
      </c>
      <c r="D14">
        <v>162478</v>
      </c>
      <c r="E14">
        <v>162478</v>
      </c>
      <c r="F14" s="7">
        <v>193668.33333333334</v>
      </c>
      <c r="G14" s="7">
        <f t="shared" si="0"/>
        <v>267067.5</v>
      </c>
      <c r="H14" s="8">
        <f t="shared" si="1"/>
        <v>1.289323747401165</v>
      </c>
      <c r="I14" s="8">
        <f t="shared" si="2"/>
        <v>1.289323747401165</v>
      </c>
      <c r="J14" s="8">
        <f t="shared" si="3"/>
        <v>1.289323747401165</v>
      </c>
      <c r="K14" s="8">
        <f t="shared" si="4"/>
        <v>1.5368307173049354</v>
      </c>
      <c r="L14" s="8">
        <f t="shared" si="5"/>
        <v>2.1192805789649096</v>
      </c>
    </row>
    <row r="15" spans="1:12" x14ac:dyDescent="0.25">
      <c r="A15" t="s">
        <v>18</v>
      </c>
      <c r="B15">
        <v>126901</v>
      </c>
      <c r="C15">
        <v>153860</v>
      </c>
      <c r="D15">
        <v>159619</v>
      </c>
      <c r="E15">
        <v>238880</v>
      </c>
      <c r="F15" s="7">
        <v>301930.66666666669</v>
      </c>
      <c r="G15" s="7">
        <f t="shared" si="0"/>
        <v>282034.25</v>
      </c>
      <c r="H15" s="8">
        <f t="shared" si="1"/>
        <v>1.8824122741349556</v>
      </c>
      <c r="I15" s="8">
        <f t="shared" si="2"/>
        <v>1.2578230273993112</v>
      </c>
      <c r="J15" s="8">
        <f t="shared" si="3"/>
        <v>1.2124411943168296</v>
      </c>
      <c r="K15" s="8">
        <f t="shared" si="4"/>
        <v>2.379261524075198</v>
      </c>
      <c r="L15" s="8">
        <f t="shared" si="5"/>
        <v>2.2224746061890763</v>
      </c>
    </row>
    <row r="16" spans="1:12" x14ac:dyDescent="0.25">
      <c r="A16" t="s">
        <v>19</v>
      </c>
      <c r="B16">
        <v>146926</v>
      </c>
      <c r="C16">
        <v>175786</v>
      </c>
      <c r="D16">
        <v>179647</v>
      </c>
      <c r="E16">
        <v>179647</v>
      </c>
      <c r="F16" s="7">
        <v>296419</v>
      </c>
      <c r="G16" s="7">
        <f t="shared" si="0"/>
        <v>306570</v>
      </c>
      <c r="H16" s="8">
        <f t="shared" si="1"/>
        <v>1.2227039462042117</v>
      </c>
      <c r="I16" s="8">
        <f t="shared" si="2"/>
        <v>1.2227039462042117</v>
      </c>
      <c r="J16" s="8">
        <f t="shared" si="3"/>
        <v>1.1964254114316051</v>
      </c>
      <c r="K16" s="8">
        <f t="shared" si="4"/>
        <v>2.0174713801505519</v>
      </c>
      <c r="L16" s="8">
        <f t="shared" si="5"/>
        <v>2.0865605815172263</v>
      </c>
    </row>
    <row r="17" spans="1:12" x14ac:dyDescent="0.25">
      <c r="A17" t="s">
        <v>20</v>
      </c>
      <c r="B17">
        <v>167492</v>
      </c>
      <c r="C17">
        <v>236151</v>
      </c>
      <c r="D17">
        <v>271361</v>
      </c>
      <c r="E17">
        <v>487265</v>
      </c>
      <c r="F17" s="7">
        <v>348877.66666666669</v>
      </c>
      <c r="G17" s="7">
        <f t="shared" si="0"/>
        <v>341354.25</v>
      </c>
      <c r="H17" s="8">
        <f t="shared" si="1"/>
        <v>2.909183722207628</v>
      </c>
      <c r="I17" s="8">
        <f t="shared" si="2"/>
        <v>1.620143051608435</v>
      </c>
      <c r="J17" s="8">
        <f t="shared" si="3"/>
        <v>1.40992405607432</v>
      </c>
      <c r="K17" s="8">
        <f t="shared" si="4"/>
        <v>2.0829512255311697</v>
      </c>
      <c r="L17" s="8">
        <f t="shared" si="5"/>
        <v>2.0380331597927066</v>
      </c>
    </row>
    <row r="18" spans="1:12" x14ac:dyDescent="0.25">
      <c r="A18" t="s">
        <v>21</v>
      </c>
      <c r="B18">
        <v>195334</v>
      </c>
      <c r="C18">
        <v>200648</v>
      </c>
      <c r="D18">
        <v>214739</v>
      </c>
      <c r="E18">
        <v>222345</v>
      </c>
      <c r="F18" s="7">
        <v>292717.33333333331</v>
      </c>
      <c r="G18" s="7">
        <f t="shared" si="0"/>
        <v>257290.5</v>
      </c>
      <c r="H18" s="8">
        <f t="shared" si="1"/>
        <v>1.1382810980167304</v>
      </c>
      <c r="I18" s="8">
        <f t="shared" si="2"/>
        <v>1.0993426643595072</v>
      </c>
      <c r="J18" s="8">
        <f t="shared" si="3"/>
        <v>1.0272046853082413</v>
      </c>
      <c r="K18" s="8">
        <f t="shared" si="4"/>
        <v>1.4985477865263257</v>
      </c>
      <c r="L18" s="8">
        <f t="shared" si="5"/>
        <v>1.3171823645653087</v>
      </c>
    </row>
    <row r="19" spans="1:12" x14ac:dyDescent="0.25">
      <c r="A19" t="s">
        <v>22</v>
      </c>
      <c r="B19">
        <v>190652</v>
      </c>
      <c r="C19">
        <v>181872</v>
      </c>
      <c r="D19">
        <v>199163</v>
      </c>
      <c r="E19">
        <v>337023</v>
      </c>
      <c r="F19" s="7">
        <v>268939</v>
      </c>
      <c r="G19" s="7">
        <f t="shared" si="0"/>
        <v>242378</v>
      </c>
      <c r="H19" s="8">
        <f t="shared" si="1"/>
        <v>1.7677391267859766</v>
      </c>
      <c r="I19" s="8">
        <f t="shared" si="2"/>
        <v>1.0446415458531775</v>
      </c>
      <c r="J19" s="8">
        <f t="shared" si="3"/>
        <v>0.95394750645154525</v>
      </c>
      <c r="K19" s="8">
        <f t="shared" si="4"/>
        <v>1.4106277405954304</v>
      </c>
      <c r="L19" s="8">
        <f t="shared" si="5"/>
        <v>1.271311079873277</v>
      </c>
    </row>
    <row r="20" spans="1:12" x14ac:dyDescent="0.25">
      <c r="A20" t="s">
        <v>23</v>
      </c>
      <c r="B20">
        <v>195759</v>
      </c>
      <c r="C20">
        <v>185944</v>
      </c>
      <c r="D20">
        <v>192599</v>
      </c>
      <c r="E20">
        <v>318784</v>
      </c>
      <c r="F20" s="7">
        <v>210829.66666666666</v>
      </c>
      <c r="H20" s="8">
        <f t="shared" si="1"/>
        <v>1.6284513100291684</v>
      </c>
      <c r="I20" s="8">
        <f t="shared" si="2"/>
        <v>0.98385770258327843</v>
      </c>
      <c r="J20" s="8">
        <f t="shared" si="3"/>
        <v>0.94986181989078411</v>
      </c>
      <c r="K20" s="8">
        <f t="shared" si="4"/>
        <v>1.0769858175954448</v>
      </c>
      <c r="L20" s="8"/>
    </row>
    <row r="21" spans="1:12" x14ac:dyDescent="0.25">
      <c r="A21" s="10" t="s">
        <v>24</v>
      </c>
      <c r="B21">
        <v>246747</v>
      </c>
      <c r="C21">
        <v>150242</v>
      </c>
      <c r="D21">
        <v>151010</v>
      </c>
      <c r="E21">
        <v>151010</v>
      </c>
      <c r="H21" s="8">
        <f t="shared" si="1"/>
        <v>0.61200338808577204</v>
      </c>
      <c r="I21" s="8">
        <f t="shared" si="2"/>
        <v>0.61200338808577204</v>
      </c>
      <c r="J21" s="8">
        <f t="shared" si="3"/>
        <v>0.60889088823774962</v>
      </c>
      <c r="K21" s="8"/>
      <c r="L21" s="8"/>
    </row>
    <row r="22" spans="1:12" x14ac:dyDescent="0.25">
      <c r="A22" s="11" t="s">
        <v>25</v>
      </c>
      <c r="B22">
        <v>163224</v>
      </c>
      <c r="C22">
        <v>161364</v>
      </c>
      <c r="D22">
        <v>162695</v>
      </c>
      <c r="E22">
        <v>162695</v>
      </c>
      <c r="H22" s="8">
        <f t="shared" si="1"/>
        <v>0.99675905504092532</v>
      </c>
      <c r="I22" s="8">
        <f t="shared" si="2"/>
        <v>0.99675905504092532</v>
      </c>
      <c r="J22" s="8">
        <f t="shared" si="3"/>
        <v>0.98860461696809288</v>
      </c>
      <c r="K22" s="8"/>
      <c r="L22" s="8"/>
    </row>
    <row r="23" spans="1:12" x14ac:dyDescent="0.25">
      <c r="I23" s="8"/>
      <c r="J23" s="8"/>
      <c r="K23" s="8"/>
      <c r="L23" s="8"/>
    </row>
    <row r="24" spans="1:12" x14ac:dyDescent="0.25">
      <c r="A24" t="s">
        <v>26</v>
      </c>
      <c r="B24">
        <f>SUM(B4:B23)</f>
        <v>2683497.6113629364</v>
      </c>
      <c r="C24">
        <f t="shared" ref="C24:F24" si="6">SUM(C4:C23)</f>
        <v>3064793</v>
      </c>
      <c r="D24">
        <f t="shared" si="6"/>
        <v>3236564</v>
      </c>
      <c r="E24">
        <f t="shared" si="6"/>
        <v>3907323</v>
      </c>
      <c r="F24">
        <f t="shared" si="6"/>
        <v>3593891.333333333</v>
      </c>
      <c r="H24" s="8">
        <f t="shared" ref="H24:H25" si="7">E24/B24</f>
        <v>1.4560560752709177</v>
      </c>
      <c r="I24" s="8">
        <f t="shared" si="2"/>
        <v>1.2060990799079427</v>
      </c>
      <c r="J24" s="8">
        <f t="shared" si="3"/>
        <v>1.142088961444391</v>
      </c>
      <c r="K24" s="8">
        <f t="shared" si="4"/>
        <v>1.3392563936391997</v>
      </c>
      <c r="L24" s="8"/>
    </row>
    <row r="25" spans="1:12" x14ac:dyDescent="0.25">
      <c r="A25" t="s">
        <v>27</v>
      </c>
      <c r="B25">
        <f>AVERAGE(B4:B22)</f>
        <v>141236.71638752296</v>
      </c>
      <c r="C25">
        <f t="shared" ref="C25:E25" si="8">AVERAGE(C4:C22)</f>
        <v>161304.89473684211</v>
      </c>
      <c r="D25">
        <f t="shared" si="8"/>
        <v>170345.47368421053</v>
      </c>
      <c r="E25">
        <f t="shared" si="8"/>
        <v>205648.57894736843</v>
      </c>
      <c r="F25" s="7">
        <f>AVERAGE(F4:F20)</f>
        <v>211405.37254901958</v>
      </c>
      <c r="H25" s="8">
        <f t="shared" si="7"/>
        <v>1.456056075270918</v>
      </c>
      <c r="I25" s="8">
        <f t="shared" si="2"/>
        <v>1.206099079907943</v>
      </c>
      <c r="J25" s="8">
        <f t="shared" si="3"/>
        <v>1.142088961444391</v>
      </c>
      <c r="K25" s="8">
        <f t="shared" si="4"/>
        <v>1.4968159693614587</v>
      </c>
      <c r="L25" s="8"/>
    </row>
    <row r="26" spans="1:12" x14ac:dyDescent="0.25">
      <c r="I26" s="8"/>
      <c r="J26" s="8"/>
      <c r="K26" s="8"/>
      <c r="L26" s="8"/>
    </row>
    <row r="27" spans="1:12" x14ac:dyDescent="0.25">
      <c r="A27" t="s">
        <v>31</v>
      </c>
      <c r="B27">
        <f>SUM(B4:B19)</f>
        <v>2077767.6113629364</v>
      </c>
      <c r="C27">
        <f t="shared" ref="C27:G27" si="9">SUM(C4:C19)</f>
        <v>2567243</v>
      </c>
      <c r="D27">
        <f t="shared" si="9"/>
        <v>2730260</v>
      </c>
      <c r="E27">
        <f t="shared" si="9"/>
        <v>3274834</v>
      </c>
      <c r="F27">
        <f t="shared" si="9"/>
        <v>3383061.6666666665</v>
      </c>
      <c r="G27">
        <f t="shared" si="9"/>
        <v>3407686.5</v>
      </c>
      <c r="H27" s="8">
        <f t="shared" ref="H27" si="10">E27/B27</f>
        <v>1.5761310274019689</v>
      </c>
      <c r="I27" s="8">
        <f t="shared" ref="I27" si="11">D27/B27</f>
        <v>1.3140353064840844</v>
      </c>
      <c r="J27" s="8">
        <f t="shared" ref="J27" si="12">C27/B27</f>
        <v>1.2355775429168359</v>
      </c>
      <c r="K27" s="8">
        <f t="shared" ref="K27" si="13">F27/B27</f>
        <v>1.6282194640850653</v>
      </c>
      <c r="L27" s="8">
        <f t="shared" ref="L27" si="14">G27/B27</f>
        <v>1.6400710461381613</v>
      </c>
    </row>
    <row r="28" spans="1:12" x14ac:dyDescent="0.25">
      <c r="A28" t="s">
        <v>32</v>
      </c>
    </row>
    <row r="31" spans="1:12" x14ac:dyDescent="0.25">
      <c r="A31" t="s">
        <v>39</v>
      </c>
      <c r="B31">
        <f>SUM(B2:B8)</f>
        <v>519358.61136293656</v>
      </c>
      <c r="C31">
        <f t="shared" ref="C31:E31" si="15">SUM(C2:C8)</f>
        <v>916749</v>
      </c>
      <c r="D31">
        <f t="shared" si="15"/>
        <v>979402</v>
      </c>
      <c r="E31">
        <f t="shared" si="15"/>
        <v>1040274</v>
      </c>
    </row>
    <row r="32" spans="1:12" x14ac:dyDescent="0.25">
      <c r="A32" t="s">
        <v>40</v>
      </c>
      <c r="B32" s="7">
        <f>AVERAGE(B2:B8)</f>
        <v>103871.72227258731</v>
      </c>
      <c r="C32" s="7">
        <f t="shared" ref="C32:E32" si="16">AVERAGE(C2:C8)</f>
        <v>130964.14285714286</v>
      </c>
      <c r="D32" s="7">
        <f t="shared" si="16"/>
        <v>139914.57142857142</v>
      </c>
      <c r="E32" s="7">
        <f t="shared" si="16"/>
        <v>148610.57142857142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AE12-5921-49E9-BD24-FA0C0717B290}">
  <dimension ref="A1:L25"/>
  <sheetViews>
    <sheetView workbookViewId="0">
      <selection activeCell="F1" sqref="F1"/>
    </sheetView>
  </sheetViews>
  <sheetFormatPr defaultRowHeight="15" x14ac:dyDescent="0.25"/>
  <cols>
    <col min="8" max="9" width="14.57031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7</v>
      </c>
      <c r="B2">
        <v>50301</v>
      </c>
      <c r="C2">
        <v>56947</v>
      </c>
      <c r="D2">
        <v>56947</v>
      </c>
      <c r="E2">
        <v>56947</v>
      </c>
      <c r="F2" s="7">
        <v>60394.666666666664</v>
      </c>
      <c r="G2" s="7">
        <f>AVERAGE(E2:E5)</f>
        <v>57253</v>
      </c>
      <c r="H2" s="8">
        <f>E2/B2</f>
        <v>1.1321246098487108</v>
      </c>
      <c r="I2" s="8">
        <f>D2/B2</f>
        <v>1.1321246098487108</v>
      </c>
      <c r="J2" s="8">
        <f>C2/B2</f>
        <v>1.1321246098487108</v>
      </c>
      <c r="K2" s="8">
        <f>F2/B2</f>
        <v>1.2006653280584216</v>
      </c>
      <c r="L2" s="8">
        <f>G2/B2</f>
        <v>1.1382079879127651</v>
      </c>
    </row>
    <row r="3" spans="1:12" x14ac:dyDescent="0.25">
      <c r="A3" s="9" t="s">
        <v>8</v>
      </c>
      <c r="B3" s="15">
        <v>65137.141505836851</v>
      </c>
      <c r="C3" s="9">
        <v>72788</v>
      </c>
      <c r="D3" s="9">
        <v>77062</v>
      </c>
      <c r="E3" s="9">
        <v>78771</v>
      </c>
      <c r="F3" s="7">
        <v>57355</v>
      </c>
      <c r="G3" s="7">
        <f t="shared" ref="G3:G17" si="0">AVERAGE(E3:E6)</f>
        <v>51875.25</v>
      </c>
      <c r="H3" s="8">
        <f t="shared" ref="H3:H20" si="1">E3/B3</f>
        <v>1.209310052283173</v>
      </c>
      <c r="I3" s="8">
        <f t="shared" ref="I3:I25" si="2">D3/B3</f>
        <v>1.1830731011291704</v>
      </c>
      <c r="J3" s="8">
        <f t="shared" ref="J3:J25" si="3">C3/B3</f>
        <v>1.1174576949078669</v>
      </c>
      <c r="K3" s="8">
        <f t="shared" ref="K3:K25" si="4">F3/B3</f>
        <v>0.88052681886355877</v>
      </c>
      <c r="L3" s="8">
        <f t="shared" ref="L3:L25" si="5">G3/B3</f>
        <v>0.79640046831578459</v>
      </c>
    </row>
    <row r="4" spans="1:12" x14ac:dyDescent="0.25">
      <c r="A4" t="s">
        <v>9</v>
      </c>
      <c r="B4">
        <v>39378</v>
      </c>
      <c r="C4">
        <v>45466</v>
      </c>
      <c r="D4">
        <v>45466</v>
      </c>
      <c r="E4">
        <v>45466</v>
      </c>
      <c r="F4" s="7">
        <v>42910</v>
      </c>
      <c r="G4" s="7">
        <f t="shared" si="0"/>
        <v>44624.5</v>
      </c>
      <c r="H4" s="8">
        <f t="shared" si="1"/>
        <v>1.1546040936563564</v>
      </c>
      <c r="I4" s="8">
        <f t="shared" si="2"/>
        <v>1.1546040936563564</v>
      </c>
      <c r="J4" s="8">
        <f t="shared" si="3"/>
        <v>1.1546040936563564</v>
      </c>
      <c r="K4" s="8">
        <f t="shared" si="4"/>
        <v>1.0896947534156127</v>
      </c>
      <c r="L4" s="8">
        <f t="shared" si="5"/>
        <v>1.133234293260196</v>
      </c>
    </row>
    <row r="5" spans="1:12" x14ac:dyDescent="0.25">
      <c r="A5" t="s">
        <v>10</v>
      </c>
      <c r="B5">
        <v>32739</v>
      </c>
      <c r="C5">
        <v>41847</v>
      </c>
      <c r="D5">
        <v>46499</v>
      </c>
      <c r="E5">
        <v>47828</v>
      </c>
      <c r="F5" s="7">
        <v>44344</v>
      </c>
      <c r="G5" s="7">
        <f t="shared" si="0"/>
        <v>48793.75</v>
      </c>
      <c r="H5" s="8">
        <f t="shared" si="1"/>
        <v>1.4608876263783255</v>
      </c>
      <c r="I5" s="8">
        <f t="shared" si="2"/>
        <v>1.4202938391520816</v>
      </c>
      <c r="J5" s="8">
        <f t="shared" si="3"/>
        <v>1.2782003115550262</v>
      </c>
      <c r="K5" s="8">
        <f t="shared" si="4"/>
        <v>1.3544702037325513</v>
      </c>
      <c r="L5" s="8">
        <f t="shared" si="5"/>
        <v>1.4903860838755001</v>
      </c>
    </row>
    <row r="6" spans="1:12" x14ac:dyDescent="0.25">
      <c r="A6" t="s">
        <v>11</v>
      </c>
      <c r="B6">
        <v>31925</v>
      </c>
      <c r="C6">
        <v>35436</v>
      </c>
      <c r="D6">
        <v>35436</v>
      </c>
      <c r="E6">
        <v>35436</v>
      </c>
      <c r="F6" s="7">
        <v>49115.666666666664</v>
      </c>
      <c r="G6" s="7">
        <f t="shared" si="0"/>
        <v>56134.5</v>
      </c>
      <c r="H6" s="8">
        <f t="shared" si="1"/>
        <v>1.1099765074393109</v>
      </c>
      <c r="I6" s="8">
        <f t="shared" si="2"/>
        <v>1.1099765074393109</v>
      </c>
      <c r="J6" s="8">
        <f t="shared" si="3"/>
        <v>1.1099765074393109</v>
      </c>
      <c r="K6" s="8">
        <f t="shared" si="4"/>
        <v>1.5384703732706864</v>
      </c>
      <c r="L6" s="8">
        <f t="shared" si="5"/>
        <v>1.7583241973375099</v>
      </c>
    </row>
    <row r="7" spans="1:12" x14ac:dyDescent="0.25">
      <c r="A7" t="s">
        <v>12</v>
      </c>
      <c r="B7">
        <v>39059</v>
      </c>
      <c r="C7">
        <v>48886</v>
      </c>
      <c r="D7">
        <v>49768</v>
      </c>
      <c r="E7">
        <v>49768</v>
      </c>
      <c r="F7" s="7">
        <v>63034</v>
      </c>
      <c r="G7" s="7">
        <f t="shared" si="0"/>
        <v>74597</v>
      </c>
      <c r="H7" s="8">
        <f t="shared" si="1"/>
        <v>1.2741749660769606</v>
      </c>
      <c r="I7" s="8">
        <f t="shared" si="2"/>
        <v>1.2741749660769606</v>
      </c>
      <c r="J7" s="8">
        <f t="shared" si="3"/>
        <v>1.2515937427993549</v>
      </c>
      <c r="K7" s="8">
        <f t="shared" si="4"/>
        <v>1.613814997823805</v>
      </c>
      <c r="L7" s="8">
        <f t="shared" si="5"/>
        <v>1.9098543229473361</v>
      </c>
    </row>
    <row r="8" spans="1:12" x14ac:dyDescent="0.25">
      <c r="A8" t="s">
        <v>13</v>
      </c>
      <c r="B8">
        <v>55878</v>
      </c>
      <c r="C8">
        <v>62143</v>
      </c>
      <c r="D8">
        <v>62143</v>
      </c>
      <c r="E8">
        <v>62143</v>
      </c>
      <c r="F8" s="7">
        <v>82873.333333333328</v>
      </c>
      <c r="G8" s="7">
        <f t="shared" si="0"/>
        <v>88915</v>
      </c>
      <c r="H8" s="8">
        <f t="shared" si="1"/>
        <v>1.1121192598160279</v>
      </c>
      <c r="I8" s="8">
        <f t="shared" si="2"/>
        <v>1.1121192598160279</v>
      </c>
      <c r="J8" s="8">
        <f t="shared" si="3"/>
        <v>1.1121192598160279</v>
      </c>
      <c r="K8" s="8">
        <f t="shared" si="4"/>
        <v>1.4831120178484078</v>
      </c>
      <c r="L8" s="8">
        <f t="shared" si="5"/>
        <v>1.591234475106482</v>
      </c>
    </row>
    <row r="9" spans="1:12" x14ac:dyDescent="0.25">
      <c r="A9" t="s">
        <v>14</v>
      </c>
      <c r="B9">
        <v>50861</v>
      </c>
      <c r="C9">
        <v>67892</v>
      </c>
      <c r="D9">
        <v>74781</v>
      </c>
      <c r="E9">
        <v>77191</v>
      </c>
      <c r="F9" s="7">
        <v>97839</v>
      </c>
      <c r="G9" s="7">
        <f t="shared" si="0"/>
        <v>94886.75</v>
      </c>
      <c r="H9" s="8">
        <f t="shared" si="1"/>
        <v>1.5176854564401014</v>
      </c>
      <c r="I9" s="8">
        <f t="shared" si="2"/>
        <v>1.4703014097245433</v>
      </c>
      <c r="J9" s="8">
        <f t="shared" si="3"/>
        <v>1.334853817266668</v>
      </c>
      <c r="K9" s="8">
        <f t="shared" si="4"/>
        <v>1.9236546666404515</v>
      </c>
      <c r="L9" s="8">
        <f t="shared" si="5"/>
        <v>1.8656092094138927</v>
      </c>
    </row>
    <row r="10" spans="1:12" x14ac:dyDescent="0.25">
      <c r="A10" t="s">
        <v>15</v>
      </c>
      <c r="B10">
        <v>82555</v>
      </c>
      <c r="C10">
        <v>100793</v>
      </c>
      <c r="D10">
        <v>109286</v>
      </c>
      <c r="E10">
        <v>109286</v>
      </c>
      <c r="F10" s="7">
        <v>100785.33333333333</v>
      </c>
      <c r="G10" s="7">
        <f t="shared" si="0"/>
        <v>101439</v>
      </c>
      <c r="H10" s="8">
        <f t="shared" si="1"/>
        <v>1.3237962570407606</v>
      </c>
      <c r="I10" s="8">
        <f t="shared" si="2"/>
        <v>1.3237962570407606</v>
      </c>
      <c r="J10" s="8">
        <f t="shared" si="3"/>
        <v>1.2209193870752832</v>
      </c>
      <c r="K10" s="8">
        <f t="shared" si="4"/>
        <v>1.2208265196939414</v>
      </c>
      <c r="L10" s="8">
        <f t="shared" si="5"/>
        <v>1.2287444733813822</v>
      </c>
    </row>
    <row r="11" spans="1:12" x14ac:dyDescent="0.25">
      <c r="A11" t="s">
        <v>16</v>
      </c>
      <c r="B11">
        <v>66636</v>
      </c>
      <c r="C11">
        <v>81926</v>
      </c>
      <c r="D11">
        <v>85976</v>
      </c>
      <c r="E11">
        <v>107040</v>
      </c>
      <c r="F11" s="7">
        <v>98823.333333333328</v>
      </c>
      <c r="G11" s="7">
        <f t="shared" si="0"/>
        <v>93538.25</v>
      </c>
      <c r="H11" s="8">
        <f t="shared" si="1"/>
        <v>1.6063389159013146</v>
      </c>
      <c r="I11" s="8">
        <f t="shared" si="2"/>
        <v>1.2902335074134101</v>
      </c>
      <c r="J11" s="8">
        <f t="shared" si="3"/>
        <v>1.2294555495527943</v>
      </c>
      <c r="K11" s="8">
        <f t="shared" si="4"/>
        <v>1.4830321948096123</v>
      </c>
      <c r="L11" s="8">
        <f t="shared" si="5"/>
        <v>1.403719460952038</v>
      </c>
    </row>
    <row r="12" spans="1:12" x14ac:dyDescent="0.25">
      <c r="A12" t="s">
        <v>17</v>
      </c>
      <c r="B12">
        <v>59521</v>
      </c>
      <c r="C12">
        <v>78413</v>
      </c>
      <c r="D12">
        <v>81460</v>
      </c>
      <c r="E12">
        <v>86030</v>
      </c>
      <c r="F12" s="7">
        <v>89037.666666666672</v>
      </c>
      <c r="G12" s="7">
        <f t="shared" si="0"/>
        <v>101758.5</v>
      </c>
      <c r="H12" s="8">
        <f t="shared" si="1"/>
        <v>1.445372221568858</v>
      </c>
      <c r="I12" s="8">
        <f t="shared" si="2"/>
        <v>1.3685925975706053</v>
      </c>
      <c r="J12" s="8">
        <f t="shared" si="3"/>
        <v>1.3174005813074376</v>
      </c>
      <c r="K12" s="8">
        <f t="shared" si="4"/>
        <v>1.4959034066407935</v>
      </c>
      <c r="L12" s="8">
        <f t="shared" si="5"/>
        <v>1.7096234942289277</v>
      </c>
    </row>
    <row r="13" spans="1:12" x14ac:dyDescent="0.25">
      <c r="A13" t="s">
        <v>18</v>
      </c>
      <c r="B13">
        <v>65024</v>
      </c>
      <c r="C13">
        <v>83901</v>
      </c>
      <c r="D13">
        <v>88285</v>
      </c>
      <c r="E13">
        <v>103400</v>
      </c>
      <c r="F13" s="7">
        <v>107001.33333333333</v>
      </c>
      <c r="G13" s="7">
        <f t="shared" si="0"/>
        <v>105911.25</v>
      </c>
      <c r="H13" s="8">
        <f t="shared" si="1"/>
        <v>1.5901820866141732</v>
      </c>
      <c r="I13" s="8">
        <f t="shared" si="2"/>
        <v>1.3577294537401574</v>
      </c>
      <c r="J13" s="8">
        <f t="shared" si="3"/>
        <v>1.2903081938976377</v>
      </c>
      <c r="K13" s="8">
        <f t="shared" si="4"/>
        <v>1.6455667650918635</v>
      </c>
      <c r="L13" s="8">
        <f t="shared" si="5"/>
        <v>1.6288024421751968</v>
      </c>
    </row>
    <row r="14" spans="1:12" x14ac:dyDescent="0.25">
      <c r="A14" t="s">
        <v>19</v>
      </c>
      <c r="B14">
        <v>69734</v>
      </c>
      <c r="C14">
        <v>77683</v>
      </c>
      <c r="D14">
        <v>77683</v>
      </c>
      <c r="E14">
        <v>77683</v>
      </c>
      <c r="F14" s="7">
        <v>106748.33333333333</v>
      </c>
      <c r="G14" s="7">
        <f t="shared" si="0"/>
        <v>109581</v>
      </c>
      <c r="H14" s="8">
        <f t="shared" si="1"/>
        <v>1.1139903060200189</v>
      </c>
      <c r="I14" s="8">
        <f t="shared" si="2"/>
        <v>1.1139903060200189</v>
      </c>
      <c r="J14" s="8">
        <f t="shared" si="3"/>
        <v>1.1139903060200189</v>
      </c>
      <c r="K14" s="8">
        <f t="shared" si="4"/>
        <v>1.530793204653875</v>
      </c>
      <c r="L14" s="8">
        <f t="shared" si="5"/>
        <v>1.5714142312214989</v>
      </c>
    </row>
    <row r="15" spans="1:12" x14ac:dyDescent="0.25">
      <c r="A15" t="s">
        <v>20</v>
      </c>
      <c r="B15">
        <v>76163</v>
      </c>
      <c r="C15">
        <v>95385</v>
      </c>
      <c r="D15">
        <v>112915</v>
      </c>
      <c r="E15">
        <v>139921</v>
      </c>
      <c r="F15" s="7">
        <v>120213.66666666667</v>
      </c>
      <c r="G15" s="7">
        <f t="shared" si="0"/>
        <v>135658</v>
      </c>
      <c r="H15" s="8">
        <f t="shared" si="1"/>
        <v>1.8371256384333601</v>
      </c>
      <c r="I15" s="8">
        <f t="shared" si="2"/>
        <v>1.4825440174362881</v>
      </c>
      <c r="J15" s="8">
        <f t="shared" si="3"/>
        <v>1.2523797644525556</v>
      </c>
      <c r="K15" s="8">
        <f t="shared" si="4"/>
        <v>1.5783735759708346</v>
      </c>
      <c r="L15" s="8">
        <f t="shared" si="5"/>
        <v>1.7811535785092498</v>
      </c>
    </row>
    <row r="16" spans="1:12" x14ac:dyDescent="0.25">
      <c r="A16" t="s">
        <v>21</v>
      </c>
      <c r="B16">
        <v>84988</v>
      </c>
      <c r="C16">
        <v>98559</v>
      </c>
      <c r="D16">
        <v>102641</v>
      </c>
      <c r="E16">
        <v>102641</v>
      </c>
      <c r="F16" s="7">
        <v>134237</v>
      </c>
      <c r="G16" s="7">
        <f t="shared" si="0"/>
        <v>141752</v>
      </c>
      <c r="H16" s="8">
        <f t="shared" si="1"/>
        <v>1.2077116769426273</v>
      </c>
      <c r="I16" s="8">
        <f t="shared" si="2"/>
        <v>1.2077116769426273</v>
      </c>
      <c r="J16" s="8">
        <f t="shared" si="3"/>
        <v>1.1596813667811927</v>
      </c>
      <c r="K16" s="8">
        <f t="shared" si="4"/>
        <v>1.5794818091965925</v>
      </c>
      <c r="L16" s="8">
        <f t="shared" si="5"/>
        <v>1.66790605732574</v>
      </c>
    </row>
    <row r="17" spans="1:12" x14ac:dyDescent="0.25">
      <c r="A17" t="s">
        <v>22</v>
      </c>
      <c r="B17">
        <v>87440</v>
      </c>
      <c r="C17">
        <v>108084</v>
      </c>
      <c r="D17">
        <v>113219</v>
      </c>
      <c r="E17">
        <v>118079</v>
      </c>
      <c r="F17" s="7">
        <v>154789</v>
      </c>
      <c r="G17" s="7">
        <f t="shared" si="0"/>
        <v>171087</v>
      </c>
      <c r="H17" s="8">
        <f t="shared" si="1"/>
        <v>1.350400274473925</v>
      </c>
      <c r="I17" s="8">
        <f t="shared" si="2"/>
        <v>1.2948193046660568</v>
      </c>
      <c r="J17" s="8">
        <f t="shared" si="3"/>
        <v>1.2360933211344922</v>
      </c>
      <c r="K17" s="8">
        <f t="shared" si="4"/>
        <v>1.7702310155535224</v>
      </c>
      <c r="L17" s="8">
        <f t="shared" si="5"/>
        <v>1.9566216834400731</v>
      </c>
    </row>
    <row r="18" spans="1:12" x14ac:dyDescent="0.25">
      <c r="A18" t="s">
        <v>23</v>
      </c>
      <c r="B18">
        <v>91682</v>
      </c>
      <c r="C18">
        <v>112701</v>
      </c>
      <c r="D18">
        <v>181991</v>
      </c>
      <c r="E18">
        <v>181991</v>
      </c>
      <c r="F18" s="7">
        <v>188756.33333333334</v>
      </c>
      <c r="H18" s="8">
        <f t="shared" si="1"/>
        <v>1.9850243232041185</v>
      </c>
      <c r="I18" s="8">
        <f t="shared" si="2"/>
        <v>1.9850243232041185</v>
      </c>
      <c r="J18" s="8">
        <f t="shared" si="3"/>
        <v>1.2292598329006785</v>
      </c>
      <c r="K18" s="8">
        <f t="shared" si="4"/>
        <v>2.0588156162969105</v>
      </c>
      <c r="L18" s="8"/>
    </row>
    <row r="19" spans="1:12" x14ac:dyDescent="0.25">
      <c r="A19" s="10" t="s">
        <v>24</v>
      </c>
      <c r="B19">
        <v>116099</v>
      </c>
      <c r="C19">
        <v>155901</v>
      </c>
      <c r="D19">
        <v>164297</v>
      </c>
      <c r="E19">
        <v>164297</v>
      </c>
      <c r="H19" s="8">
        <f t="shared" si="1"/>
        <v>1.4151456946226928</v>
      </c>
      <c r="I19" s="8">
        <f t="shared" si="2"/>
        <v>1.4151456946226928</v>
      </c>
      <c r="J19" s="8">
        <f t="shared" si="3"/>
        <v>1.3428281036012368</v>
      </c>
      <c r="K19" s="8"/>
      <c r="L19" s="8"/>
    </row>
    <row r="20" spans="1:12" x14ac:dyDescent="0.25">
      <c r="A20" s="11" t="s">
        <v>25</v>
      </c>
      <c r="B20">
        <v>133348</v>
      </c>
      <c r="C20">
        <v>175191</v>
      </c>
      <c r="D20">
        <v>177625</v>
      </c>
      <c r="E20">
        <v>219981</v>
      </c>
      <c r="H20" s="8">
        <f t="shared" si="1"/>
        <v>1.64967603563608</v>
      </c>
      <c r="I20" s="8">
        <f t="shared" si="2"/>
        <v>1.3320409754926958</v>
      </c>
      <c r="J20" s="8">
        <f t="shared" si="3"/>
        <v>1.3137879833218347</v>
      </c>
      <c r="K20" s="8"/>
      <c r="L20" s="8"/>
    </row>
    <row r="21" spans="1:12" x14ac:dyDescent="0.25">
      <c r="I21" s="8"/>
      <c r="J21" s="8"/>
      <c r="K21" s="8"/>
      <c r="L21" s="8"/>
    </row>
    <row r="22" spans="1:12" x14ac:dyDescent="0.25">
      <c r="A22" t="s">
        <v>26</v>
      </c>
      <c r="B22">
        <f>SUM(B2:B21)</f>
        <v>1298468.141505837</v>
      </c>
      <c r="C22">
        <f t="shared" ref="C22:F22" si="6">SUM(C2:C21)</f>
        <v>1599942</v>
      </c>
      <c r="D22">
        <f t="shared" si="6"/>
        <v>1743480</v>
      </c>
      <c r="E22">
        <f t="shared" si="6"/>
        <v>1863899</v>
      </c>
      <c r="F22">
        <f t="shared" si="6"/>
        <v>1598257.6666666667</v>
      </c>
      <c r="H22" s="8">
        <f t="shared" ref="H22:H25" si="7">E22/B22</f>
        <v>1.4354599396165633</v>
      </c>
      <c r="I22" s="8">
        <f t="shared" si="2"/>
        <v>1.3427206600372048</v>
      </c>
      <c r="J22" s="8">
        <f t="shared" si="3"/>
        <v>1.2321765539388152</v>
      </c>
      <c r="K22" s="8">
        <f t="shared" si="4"/>
        <v>1.2308793843899497</v>
      </c>
      <c r="L22" s="8"/>
    </row>
    <row r="23" spans="1:12" x14ac:dyDescent="0.25">
      <c r="A23" t="s">
        <v>27</v>
      </c>
      <c r="B23">
        <f>AVERAGE(B2:B20)</f>
        <v>68340.428500307215</v>
      </c>
      <c r="C23">
        <f t="shared" ref="C23:E23" si="8">AVERAGE(C2:C20)</f>
        <v>84207.473684210519</v>
      </c>
      <c r="D23">
        <f t="shared" si="8"/>
        <v>91762.105263157893</v>
      </c>
      <c r="E23">
        <f t="shared" si="8"/>
        <v>98099.947368421053</v>
      </c>
      <c r="F23" s="7">
        <f>AVERAGE(F2:F18)</f>
        <v>94015.156862745105</v>
      </c>
      <c r="H23" s="8">
        <f t="shared" si="7"/>
        <v>1.4354599396165633</v>
      </c>
      <c r="I23" s="8">
        <f t="shared" si="2"/>
        <v>1.3427206600372046</v>
      </c>
      <c r="J23" s="8">
        <f t="shared" si="3"/>
        <v>1.232176553938815</v>
      </c>
      <c r="K23" s="8">
        <f t="shared" si="4"/>
        <v>1.3756887237299438</v>
      </c>
      <c r="L23" s="8"/>
    </row>
    <row r="24" spans="1:12" x14ac:dyDescent="0.25">
      <c r="I24" s="8"/>
      <c r="J24" s="8"/>
      <c r="K24" s="8"/>
      <c r="L24" s="8"/>
    </row>
    <row r="25" spans="1:12" x14ac:dyDescent="0.25">
      <c r="A25" t="s">
        <v>31</v>
      </c>
      <c r="B25">
        <f>SUM(B2:B17)</f>
        <v>957339.14150583686</v>
      </c>
      <c r="C25">
        <f t="shared" ref="C25:G25" si="9">SUM(C2:C17)</f>
        <v>1156149</v>
      </c>
      <c r="D25">
        <f t="shared" si="9"/>
        <v>1219567</v>
      </c>
      <c r="E25">
        <f t="shared" si="9"/>
        <v>1297630</v>
      </c>
      <c r="F25">
        <f t="shared" si="9"/>
        <v>1409501.3333333335</v>
      </c>
      <c r="G25">
        <f t="shared" si="9"/>
        <v>1477804.75</v>
      </c>
      <c r="H25" s="8">
        <f t="shared" si="7"/>
        <v>1.3554548683331866</v>
      </c>
      <c r="I25" s="8">
        <f t="shared" si="2"/>
        <v>1.2739132321297284</v>
      </c>
      <c r="J25" s="8">
        <f t="shared" si="3"/>
        <v>1.2076692050650382</v>
      </c>
      <c r="K25" s="8">
        <f t="shared" si="4"/>
        <v>1.4723114017006269</v>
      </c>
      <c r="L25" s="8">
        <f t="shared" si="5"/>
        <v>1.5436585489187271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0947-2975-4E99-A2B0-450200F2CC4E}">
  <dimension ref="A1:L25"/>
  <sheetViews>
    <sheetView tabSelected="1" workbookViewId="0">
      <selection activeCell="N10" sqref="N10"/>
    </sheetView>
  </sheetViews>
  <sheetFormatPr defaultRowHeight="15" x14ac:dyDescent="0.25"/>
  <cols>
    <col min="8" max="9" width="13.42578125" customWidth="1"/>
  </cols>
  <sheetData>
    <row r="1" spans="1:12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29</v>
      </c>
      <c r="G1" t="s">
        <v>33</v>
      </c>
      <c r="H1" t="s">
        <v>5</v>
      </c>
      <c r="I1" t="s">
        <v>4</v>
      </c>
      <c r="J1" t="s">
        <v>34</v>
      </c>
      <c r="K1" t="s">
        <v>35</v>
      </c>
      <c r="L1" t="s">
        <v>36</v>
      </c>
    </row>
    <row r="2" spans="1:12" x14ac:dyDescent="0.25">
      <c r="A2" t="s">
        <v>7</v>
      </c>
      <c r="B2">
        <v>15214</v>
      </c>
      <c r="C2">
        <v>18924</v>
      </c>
      <c r="D2">
        <v>18924</v>
      </c>
      <c r="E2">
        <v>18924</v>
      </c>
      <c r="F2" s="7">
        <v>25797.666666666668</v>
      </c>
      <c r="G2" s="7">
        <f>AVERAGE(E2:E5)</f>
        <v>26864.75</v>
      </c>
      <c r="H2" s="8">
        <f>E2/B2</f>
        <v>1.2438543446825292</v>
      </c>
      <c r="I2" s="8">
        <f>D2/B2</f>
        <v>1.2438543446825292</v>
      </c>
      <c r="J2" s="8">
        <f>C2/B2</f>
        <v>1.2438543446825292</v>
      </c>
      <c r="K2" s="8">
        <f>F2/B2</f>
        <v>1.6956531265062882</v>
      </c>
      <c r="L2" s="8">
        <f>G2/B2</f>
        <v>1.7657913763638753</v>
      </c>
    </row>
    <row r="3" spans="1:12" x14ac:dyDescent="0.25">
      <c r="A3" s="9" t="s">
        <v>8</v>
      </c>
      <c r="B3" s="15">
        <v>22443.125243681909</v>
      </c>
      <c r="C3" s="9">
        <v>31910</v>
      </c>
      <c r="D3" s="9">
        <v>36419</v>
      </c>
      <c r="E3" s="9">
        <v>37381</v>
      </c>
      <c r="F3" s="7">
        <v>29511.666666666668</v>
      </c>
      <c r="G3" s="7">
        <f t="shared" ref="G3:G17" si="0">AVERAGE(E3:E6)</f>
        <v>37490.5</v>
      </c>
      <c r="H3" s="8">
        <f t="shared" ref="H3:H20" si="1">E3/B3</f>
        <v>1.6655879960623281</v>
      </c>
      <c r="I3" s="8">
        <f t="shared" ref="I3:I25" si="2">D3/B3</f>
        <v>1.6227240905431617</v>
      </c>
      <c r="J3" s="8">
        <f t="shared" ref="J3:J25" si="3">C3/B3</f>
        <v>1.4218162423249483</v>
      </c>
      <c r="K3" s="8">
        <f t="shared" ref="K3:K25" si="4">F3/B3</f>
        <v>1.3149535256893272</v>
      </c>
      <c r="L3" s="8">
        <f t="shared" ref="L3:L25" si="5">G3/B3</f>
        <v>1.6704669957030234</v>
      </c>
    </row>
    <row r="4" spans="1:12" x14ac:dyDescent="0.25">
      <c r="A4" t="s">
        <v>9</v>
      </c>
      <c r="B4">
        <v>16430</v>
      </c>
      <c r="C4">
        <v>20370</v>
      </c>
      <c r="D4">
        <v>21088</v>
      </c>
      <c r="E4">
        <v>21088</v>
      </c>
      <c r="F4" s="7">
        <v>37527</v>
      </c>
      <c r="G4" s="7">
        <f t="shared" si="0"/>
        <v>63687.75</v>
      </c>
      <c r="H4" s="8">
        <f t="shared" si="1"/>
        <v>1.2835057821059039</v>
      </c>
      <c r="I4" s="8">
        <f t="shared" si="2"/>
        <v>1.2835057821059039</v>
      </c>
      <c r="J4" s="8">
        <f t="shared" si="3"/>
        <v>1.2398052343274497</v>
      </c>
      <c r="K4" s="8">
        <f t="shared" si="4"/>
        <v>2.2840535605599515</v>
      </c>
      <c r="L4" s="8">
        <f t="shared" si="5"/>
        <v>3.8763085818624465</v>
      </c>
    </row>
    <row r="5" spans="1:12" x14ac:dyDescent="0.25">
      <c r="A5" t="s">
        <v>10</v>
      </c>
      <c r="B5">
        <v>24156</v>
      </c>
      <c r="C5">
        <v>29410</v>
      </c>
      <c r="D5">
        <v>30066</v>
      </c>
      <c r="E5">
        <v>30066</v>
      </c>
      <c r="F5" s="7">
        <v>77887.666666666672</v>
      </c>
      <c r="G5" s="7">
        <f t="shared" si="0"/>
        <v>65497.75</v>
      </c>
      <c r="H5" s="8">
        <f t="shared" si="1"/>
        <v>1.2446597118728266</v>
      </c>
      <c r="I5" s="8">
        <f t="shared" si="2"/>
        <v>1.2446597118728266</v>
      </c>
      <c r="J5" s="8">
        <f t="shared" si="3"/>
        <v>1.2175028978307667</v>
      </c>
      <c r="K5" s="8">
        <f t="shared" si="4"/>
        <v>3.2243610973119172</v>
      </c>
      <c r="L5" s="8">
        <f t="shared" si="5"/>
        <v>2.7114485014075176</v>
      </c>
    </row>
    <row r="6" spans="1:12" x14ac:dyDescent="0.25">
      <c r="A6" t="s">
        <v>11</v>
      </c>
      <c r="B6">
        <v>13539</v>
      </c>
      <c r="C6">
        <v>33224</v>
      </c>
      <c r="D6">
        <v>46983</v>
      </c>
      <c r="E6">
        <v>61427</v>
      </c>
      <c r="F6" s="7">
        <v>77308.333333333328</v>
      </c>
      <c r="G6" s="7">
        <f t="shared" si="0"/>
        <v>192608.75</v>
      </c>
      <c r="H6" s="8">
        <f t="shared" si="1"/>
        <v>4.5370411404091886</v>
      </c>
      <c r="I6" s="8">
        <f t="shared" si="2"/>
        <v>3.4701972080655885</v>
      </c>
      <c r="J6" s="8">
        <f t="shared" si="3"/>
        <v>2.4539478543467022</v>
      </c>
      <c r="K6" s="8">
        <f t="shared" si="4"/>
        <v>5.7100475170495111</v>
      </c>
      <c r="L6" s="8">
        <f t="shared" si="5"/>
        <v>14.226216855011449</v>
      </c>
    </row>
    <row r="7" spans="1:12" x14ac:dyDescent="0.25">
      <c r="A7" t="s">
        <v>12</v>
      </c>
      <c r="B7">
        <v>12288</v>
      </c>
      <c r="C7">
        <v>34933</v>
      </c>
      <c r="D7">
        <v>103827</v>
      </c>
      <c r="E7">
        <v>142170</v>
      </c>
      <c r="F7" s="7">
        <v>236336</v>
      </c>
      <c r="G7" s="7">
        <f t="shared" si="0"/>
        <v>201606</v>
      </c>
      <c r="H7" s="8">
        <f t="shared" si="1"/>
        <v>11.56982421875</v>
      </c>
      <c r="I7" s="8">
        <f t="shared" si="2"/>
        <v>8.449462890625</v>
      </c>
      <c r="J7" s="8">
        <f t="shared" si="3"/>
        <v>2.8428548177083335</v>
      </c>
      <c r="K7" s="8">
        <f t="shared" si="4"/>
        <v>19.233072916666668</v>
      </c>
      <c r="L7" s="8">
        <f t="shared" si="5"/>
        <v>16.40673828125</v>
      </c>
    </row>
    <row r="8" spans="1:12" x14ac:dyDescent="0.25">
      <c r="A8" t="s">
        <v>13</v>
      </c>
      <c r="B8">
        <v>19527</v>
      </c>
      <c r="C8">
        <v>28328</v>
      </c>
      <c r="D8">
        <v>28328</v>
      </c>
      <c r="E8">
        <v>28328</v>
      </c>
      <c r="F8" s="7">
        <v>221418</v>
      </c>
      <c r="G8" s="7">
        <f t="shared" si="0"/>
        <v>180357</v>
      </c>
      <c r="H8" s="8">
        <f t="shared" si="1"/>
        <v>1.450709274338096</v>
      </c>
      <c r="I8" s="8">
        <f t="shared" si="2"/>
        <v>1.450709274338096</v>
      </c>
      <c r="J8" s="8">
        <f t="shared" si="3"/>
        <v>1.450709274338096</v>
      </c>
      <c r="K8" s="8">
        <f t="shared" si="4"/>
        <v>11.339068981410355</v>
      </c>
      <c r="L8" s="8">
        <f t="shared" si="5"/>
        <v>9.2362882163158702</v>
      </c>
    </row>
    <row r="9" spans="1:12" x14ac:dyDescent="0.25">
      <c r="A9" t="s">
        <v>14</v>
      </c>
      <c r="B9">
        <v>34590</v>
      </c>
      <c r="C9">
        <v>76968</v>
      </c>
      <c r="D9">
        <v>110098</v>
      </c>
      <c r="E9">
        <v>538510</v>
      </c>
      <c r="F9" s="7">
        <v>231033.33333333334</v>
      </c>
      <c r="G9" s="7">
        <f t="shared" si="0"/>
        <v>182228</v>
      </c>
      <c r="H9" s="8">
        <f t="shared" si="1"/>
        <v>15.568372361954323</v>
      </c>
      <c r="I9" s="8">
        <f t="shared" si="2"/>
        <v>3.1829430471234459</v>
      </c>
      <c r="J9" s="8">
        <f t="shared" si="3"/>
        <v>2.2251517779705119</v>
      </c>
      <c r="K9" s="8">
        <f t="shared" si="4"/>
        <v>6.6791943721692206</v>
      </c>
      <c r="L9" s="8">
        <f t="shared" si="5"/>
        <v>5.2682278115062156</v>
      </c>
    </row>
    <row r="10" spans="1:12" x14ac:dyDescent="0.25">
      <c r="A10" t="s">
        <v>15</v>
      </c>
      <c r="B10">
        <v>24004</v>
      </c>
      <c r="C10">
        <v>34012</v>
      </c>
      <c r="D10">
        <v>37457</v>
      </c>
      <c r="E10">
        <v>97416</v>
      </c>
      <c r="F10" s="7">
        <v>63467.333333333336</v>
      </c>
      <c r="G10" s="7">
        <f t="shared" si="0"/>
        <v>59659.25</v>
      </c>
      <c r="H10" s="8">
        <f t="shared" si="1"/>
        <v>4.0583236127312112</v>
      </c>
      <c r="I10" s="8">
        <f t="shared" si="2"/>
        <v>1.5604482586235628</v>
      </c>
      <c r="J10" s="8">
        <f t="shared" si="3"/>
        <v>1.416930511581403</v>
      </c>
      <c r="K10" s="8">
        <f t="shared" si="4"/>
        <v>2.6440315502971727</v>
      </c>
      <c r="L10" s="8">
        <f t="shared" si="5"/>
        <v>2.4853878520246626</v>
      </c>
    </row>
    <row r="11" spans="1:12" x14ac:dyDescent="0.25">
      <c r="A11" t="s">
        <v>16</v>
      </c>
      <c r="B11">
        <v>22346</v>
      </c>
      <c r="C11">
        <v>41470</v>
      </c>
      <c r="D11">
        <v>57174</v>
      </c>
      <c r="E11">
        <v>57174</v>
      </c>
      <c r="F11" s="7">
        <v>47073.666666666664</v>
      </c>
      <c r="G11" s="7">
        <f t="shared" si="0"/>
        <v>60164.25</v>
      </c>
      <c r="H11" s="8">
        <f t="shared" si="1"/>
        <v>2.5585787165488232</v>
      </c>
      <c r="I11" s="8">
        <f t="shared" si="2"/>
        <v>2.5585787165488232</v>
      </c>
      <c r="J11" s="8">
        <f t="shared" si="3"/>
        <v>1.8558131209164952</v>
      </c>
      <c r="K11" s="8">
        <f t="shared" si="4"/>
        <v>2.1065813419254749</v>
      </c>
      <c r="L11" s="8">
        <f t="shared" si="5"/>
        <v>2.692394612011098</v>
      </c>
    </row>
    <row r="12" spans="1:12" x14ac:dyDescent="0.25">
      <c r="A12" t="s">
        <v>17</v>
      </c>
      <c r="B12">
        <v>19324</v>
      </c>
      <c r="C12">
        <v>30828</v>
      </c>
      <c r="D12">
        <v>32157</v>
      </c>
      <c r="E12">
        <v>35812</v>
      </c>
      <c r="F12" s="7">
        <v>61161</v>
      </c>
      <c r="G12" s="7">
        <f t="shared" si="0"/>
        <v>59969.25</v>
      </c>
      <c r="H12" s="8">
        <f t="shared" si="1"/>
        <v>1.8532394949285862</v>
      </c>
      <c r="I12" s="8">
        <f t="shared" si="2"/>
        <v>1.6640964603601738</v>
      </c>
      <c r="J12" s="8">
        <f t="shared" si="3"/>
        <v>1.5953218795280479</v>
      </c>
      <c r="K12" s="8">
        <f t="shared" si="4"/>
        <v>3.165027944524943</v>
      </c>
      <c r="L12" s="8">
        <f t="shared" si="5"/>
        <v>3.1033559304491822</v>
      </c>
    </row>
    <row r="13" spans="1:12" x14ac:dyDescent="0.25">
      <c r="A13" t="s">
        <v>18</v>
      </c>
      <c r="B13">
        <v>15510</v>
      </c>
      <c r="C13">
        <v>22259</v>
      </c>
      <c r="D13">
        <v>23675</v>
      </c>
      <c r="E13">
        <v>48235</v>
      </c>
      <c r="F13" s="7">
        <v>68021.666666666672</v>
      </c>
      <c r="G13" s="7">
        <f t="shared" si="0"/>
        <v>99675</v>
      </c>
      <c r="H13" s="8">
        <f t="shared" si="1"/>
        <v>3.1099290780141846</v>
      </c>
      <c r="I13" s="8">
        <f t="shared" si="2"/>
        <v>1.5264345583494521</v>
      </c>
      <c r="J13" s="8">
        <f t="shared" si="3"/>
        <v>1.4351386202450032</v>
      </c>
      <c r="K13" s="8">
        <f t="shared" si="4"/>
        <v>4.3856651622609073</v>
      </c>
      <c r="L13" s="8">
        <f t="shared" si="5"/>
        <v>6.4264990328820115</v>
      </c>
    </row>
    <row r="14" spans="1:12" x14ac:dyDescent="0.25">
      <c r="A14" t="s">
        <v>19</v>
      </c>
      <c r="B14">
        <v>22927</v>
      </c>
      <c r="C14">
        <v>33543</v>
      </c>
      <c r="D14">
        <v>40499</v>
      </c>
      <c r="E14">
        <v>99436</v>
      </c>
      <c r="F14" s="7">
        <v>116821.66666666667</v>
      </c>
      <c r="G14" s="7">
        <f t="shared" si="0"/>
        <v>130631.5</v>
      </c>
      <c r="H14" s="8">
        <f t="shared" si="1"/>
        <v>4.3370698303310506</v>
      </c>
      <c r="I14" s="8">
        <f t="shared" si="2"/>
        <v>1.7664325903956035</v>
      </c>
      <c r="J14" s="8">
        <f t="shared" si="3"/>
        <v>1.4630348497404806</v>
      </c>
      <c r="K14" s="8">
        <f t="shared" si="4"/>
        <v>5.0953751762841488</v>
      </c>
      <c r="L14" s="8">
        <f t="shared" si="5"/>
        <v>5.697714485104898</v>
      </c>
    </row>
    <row r="15" spans="1:12" x14ac:dyDescent="0.25">
      <c r="A15" t="s">
        <v>20</v>
      </c>
      <c r="B15">
        <v>19979</v>
      </c>
      <c r="C15">
        <v>45998</v>
      </c>
      <c r="D15">
        <v>55641</v>
      </c>
      <c r="E15">
        <v>56394</v>
      </c>
      <c r="F15" s="7">
        <v>141030</v>
      </c>
      <c r="G15" s="7">
        <f t="shared" si="0"/>
        <v>128343.75</v>
      </c>
      <c r="H15" s="8">
        <f t="shared" si="1"/>
        <v>2.822663796986836</v>
      </c>
      <c r="I15" s="8">
        <f t="shared" si="2"/>
        <v>2.7849742229340806</v>
      </c>
      <c r="J15" s="8">
        <f t="shared" si="3"/>
        <v>2.3023174333049701</v>
      </c>
      <c r="K15" s="8">
        <f t="shared" si="4"/>
        <v>7.0589118574503225</v>
      </c>
      <c r="L15" s="8">
        <f t="shared" si="5"/>
        <v>6.4239326292607242</v>
      </c>
    </row>
    <row r="16" spans="1:12" x14ac:dyDescent="0.25">
      <c r="A16" t="s">
        <v>21</v>
      </c>
      <c r="B16">
        <v>31240</v>
      </c>
      <c r="C16">
        <v>52096</v>
      </c>
      <c r="D16">
        <v>61686</v>
      </c>
      <c r="E16">
        <v>194635</v>
      </c>
      <c r="F16" s="7">
        <v>152327</v>
      </c>
      <c r="G16" s="7">
        <f t="shared" si="0"/>
        <v>151004</v>
      </c>
      <c r="H16" s="8">
        <f t="shared" si="1"/>
        <v>6.2303137003841229</v>
      </c>
      <c r="I16" s="8">
        <f t="shared" si="2"/>
        <v>1.9745838668373881</v>
      </c>
      <c r="J16" s="8">
        <f t="shared" si="3"/>
        <v>1.6676056338028169</v>
      </c>
      <c r="K16" s="8">
        <f t="shared" si="4"/>
        <v>4.8760243277848909</v>
      </c>
      <c r="L16" s="8">
        <f t="shared" si="5"/>
        <v>4.833674775928297</v>
      </c>
    </row>
    <row r="17" spans="1:12" x14ac:dyDescent="0.25">
      <c r="A17" t="s">
        <v>22</v>
      </c>
      <c r="B17">
        <v>16641</v>
      </c>
      <c r="C17">
        <v>31213</v>
      </c>
      <c r="D17">
        <v>38479</v>
      </c>
      <c r="E17">
        <v>172061</v>
      </c>
      <c r="F17" s="7">
        <v>136460.33333333334</v>
      </c>
      <c r="G17" s="7">
        <f t="shared" si="0"/>
        <v>142750.25</v>
      </c>
      <c r="H17" s="8">
        <f t="shared" si="1"/>
        <v>10.339582957754942</v>
      </c>
      <c r="I17" s="8">
        <f t="shared" si="2"/>
        <v>2.3123009434529176</v>
      </c>
      <c r="J17" s="8">
        <f t="shared" si="3"/>
        <v>1.8756685295354847</v>
      </c>
      <c r="K17" s="8">
        <f t="shared" si="4"/>
        <v>8.2002483825090646</v>
      </c>
      <c r="L17" s="8">
        <f t="shared" si="5"/>
        <v>8.578225467219518</v>
      </c>
    </row>
    <row r="18" spans="1:12" x14ac:dyDescent="0.25">
      <c r="A18" t="s">
        <v>23</v>
      </c>
      <c r="B18">
        <v>31580</v>
      </c>
      <c r="C18">
        <v>45872</v>
      </c>
      <c r="D18">
        <v>90285</v>
      </c>
      <c r="E18">
        <v>90285</v>
      </c>
      <c r="F18" s="7">
        <v>132980</v>
      </c>
      <c r="H18" s="8">
        <f t="shared" si="1"/>
        <v>2.8589297023432554</v>
      </c>
      <c r="I18" s="8">
        <f t="shared" si="2"/>
        <v>2.8589297023432554</v>
      </c>
      <c r="J18" s="8">
        <f t="shared" si="3"/>
        <v>1.4525649145028499</v>
      </c>
      <c r="K18" s="8">
        <f t="shared" si="4"/>
        <v>4.2108929702343252</v>
      </c>
      <c r="L18" s="8"/>
    </row>
    <row r="19" spans="1:12" x14ac:dyDescent="0.25">
      <c r="A19" s="10" t="s">
        <v>24</v>
      </c>
      <c r="B19">
        <v>38240</v>
      </c>
      <c r="C19">
        <v>61094</v>
      </c>
      <c r="D19">
        <v>69954</v>
      </c>
      <c r="E19">
        <v>147035</v>
      </c>
      <c r="H19" s="8">
        <f t="shared" si="1"/>
        <v>3.8450575313807533</v>
      </c>
      <c r="I19" s="8">
        <f t="shared" si="2"/>
        <v>1.8293410041841005</v>
      </c>
      <c r="J19" s="8">
        <f t="shared" si="3"/>
        <v>1.5976464435146442</v>
      </c>
      <c r="K19" s="8"/>
      <c r="L19" s="8"/>
    </row>
    <row r="20" spans="1:12" x14ac:dyDescent="0.25">
      <c r="A20" s="11" t="s">
        <v>25</v>
      </c>
      <c r="B20">
        <v>44621</v>
      </c>
      <c r="C20">
        <v>93709</v>
      </c>
      <c r="D20">
        <v>107075</v>
      </c>
      <c r="E20">
        <v>161620</v>
      </c>
      <c r="H20" s="8">
        <f t="shared" si="1"/>
        <v>3.6220613612424644</v>
      </c>
      <c r="I20" s="8">
        <f t="shared" si="2"/>
        <v>2.399654871024854</v>
      </c>
      <c r="J20" s="8">
        <f t="shared" si="3"/>
        <v>2.1001098137648193</v>
      </c>
      <c r="K20" s="8"/>
      <c r="L20" s="8"/>
    </row>
    <row r="21" spans="1:12" x14ac:dyDescent="0.25">
      <c r="I21" s="8"/>
      <c r="J21" s="8"/>
      <c r="K21" s="8"/>
      <c r="L21" s="8"/>
    </row>
    <row r="22" spans="1:12" x14ac:dyDescent="0.25">
      <c r="A22" t="s">
        <v>26</v>
      </c>
      <c r="B22">
        <f>SUM(B2:B21)</f>
        <v>444599.12524368189</v>
      </c>
      <c r="C22">
        <f t="shared" ref="C22:F22" si="6">SUM(C2:C21)</f>
        <v>766161</v>
      </c>
      <c r="D22">
        <f t="shared" si="6"/>
        <v>1009815</v>
      </c>
      <c r="E22">
        <f t="shared" si="6"/>
        <v>2037997</v>
      </c>
      <c r="F22">
        <f t="shared" si="6"/>
        <v>1856162.3333333333</v>
      </c>
      <c r="H22" s="8">
        <f t="shared" ref="H22:H25" si="7">E22/B22</f>
        <v>4.5838979077680078</v>
      </c>
      <c r="I22" s="8">
        <f t="shared" si="2"/>
        <v>2.2712932677196047</v>
      </c>
      <c r="J22" s="8">
        <f t="shared" si="3"/>
        <v>1.7232624998532602</v>
      </c>
      <c r="K22" s="8">
        <f t="shared" si="4"/>
        <v>4.174912247782725</v>
      </c>
      <c r="L22" s="8"/>
    </row>
    <row r="23" spans="1:12" x14ac:dyDescent="0.25">
      <c r="A23" t="s">
        <v>27</v>
      </c>
      <c r="B23">
        <f>AVERAGE(B2:B20)</f>
        <v>23399.953960193783</v>
      </c>
      <c r="C23">
        <f t="shared" ref="C23:E23" si="8">AVERAGE(C2:C20)</f>
        <v>40324.26315789474</v>
      </c>
      <c r="D23">
        <f t="shared" si="8"/>
        <v>53148.15789473684</v>
      </c>
      <c r="E23">
        <f t="shared" si="8"/>
        <v>107263</v>
      </c>
      <c r="F23" s="7">
        <f>AVERAGE(F2:F18)</f>
        <v>109186.01960784313</v>
      </c>
      <c r="H23" s="8">
        <f t="shared" si="7"/>
        <v>4.5838979077680078</v>
      </c>
      <c r="I23" s="8">
        <f t="shared" si="2"/>
        <v>2.2712932677196047</v>
      </c>
      <c r="J23" s="8">
        <f t="shared" si="3"/>
        <v>1.7232624998532604</v>
      </c>
      <c r="K23" s="8">
        <f t="shared" si="4"/>
        <v>4.6660783945806932</v>
      </c>
      <c r="L23" s="8"/>
    </row>
    <row r="24" spans="1:12" x14ac:dyDescent="0.25">
      <c r="I24" s="8"/>
      <c r="J24" s="8"/>
      <c r="K24" s="8"/>
      <c r="L24" s="8"/>
    </row>
    <row r="25" spans="1:12" x14ac:dyDescent="0.25">
      <c r="A25" t="s">
        <v>31</v>
      </c>
      <c r="B25">
        <f>SUM(B2:B17)</f>
        <v>330158.12524368189</v>
      </c>
      <c r="C25">
        <f t="shared" ref="C25:G25" si="9">SUM(C2:C17)</f>
        <v>565486</v>
      </c>
      <c r="D25">
        <f t="shared" si="9"/>
        <v>742501</v>
      </c>
      <c r="E25">
        <f t="shared" si="9"/>
        <v>1639057</v>
      </c>
      <c r="F25">
        <f t="shared" si="9"/>
        <v>1723182.3333333333</v>
      </c>
      <c r="G25">
        <f t="shared" si="9"/>
        <v>1782537.75</v>
      </c>
      <c r="H25" s="8">
        <f t="shared" si="7"/>
        <v>4.9644605862425797</v>
      </c>
      <c r="I25" s="8">
        <f t="shared" si="2"/>
        <v>2.2489254185459697</v>
      </c>
      <c r="J25" s="8">
        <f t="shared" si="3"/>
        <v>1.7127732342877469</v>
      </c>
      <c r="K25" s="8">
        <f t="shared" si="4"/>
        <v>5.2192637453992488</v>
      </c>
      <c r="L25" s="8">
        <f t="shared" si="5"/>
        <v>5.3990425002696849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male</vt:lpstr>
      <vt:lpstr>female</vt:lpstr>
      <vt:lpstr>domestic</vt:lpstr>
      <vt:lpstr>acq</vt:lpstr>
      <vt:lpstr>stranger</vt:lpstr>
      <vt:lpstr>mdomestic</vt:lpstr>
      <vt:lpstr>macq</vt:lpstr>
      <vt:lpstr>mstranger</vt:lpstr>
      <vt:lpstr>fdomestic</vt:lpstr>
      <vt:lpstr>facq</vt:lpstr>
      <vt:lpstr>fstranger</vt:lpstr>
      <vt:lpstr>maleserious</vt:lpstr>
      <vt:lpstr>femaleserious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Francis</dc:creator>
  <cp:lastModifiedBy>Brian Francis</cp:lastModifiedBy>
  <dcterms:created xsi:type="dcterms:W3CDTF">2024-02-17T14:11:13Z</dcterms:created>
  <dcterms:modified xsi:type="dcterms:W3CDTF">2026-01-30T14:39:48Z</dcterms:modified>
</cp:coreProperties>
</file>